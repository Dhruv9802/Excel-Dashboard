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D:\Projects\Excel\"/>
    </mc:Choice>
  </mc:AlternateContent>
  <xr:revisionPtr revIDLastSave="0" documentId="8_{AA0F3781-211F-416C-B19B-7508F322976D}" xr6:coauthVersionLast="47" xr6:coauthVersionMax="47" xr10:uidLastSave="{00000000-0000-0000-0000-000000000000}"/>
  <bookViews>
    <workbookView xWindow="-110" yWindow="-110" windowWidth="19420" windowHeight="11500" activeTab="1" xr2:uid="{92755A4B-719A-48ED-9765-93536F76439A}"/>
  </bookViews>
  <sheets>
    <sheet name="Dashboard" sheetId="1" r:id="rId1"/>
    <sheet name="Data" sheetId="3" r:id="rId2"/>
  </sheets>
  <externalReferences>
    <externalReference r:id="rId3"/>
  </externalReferences>
  <definedNames>
    <definedName name="_xlnm._FilterDatabase" localSheetId="1" hidden="1">Data!$A$1:$J$51</definedName>
    <definedName name="column">[1]Sheet10!$A$1:$J$1</definedName>
    <definedName name="my_column">[1]Sheet9!$A$1:$J$1</definedName>
    <definedName name="my_table">[1]Sheet9!$A$1:$J$51</definedName>
    <definedName name="my_table1">[1]Sheet10!$A$1:$J$51</definedName>
    <definedName name="Slicer_Department">#N/A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 i="3" l="1"/>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 i="1"/>
  <c r="C5" i="1"/>
  <c r="I5" i="1"/>
  <c r="G5" i="1"/>
  <c r="E5" i="1"/>
</calcChain>
</file>

<file path=xl/sharedStrings.xml><?xml version="1.0" encoding="utf-8"?>
<sst xmlns="http://schemas.openxmlformats.org/spreadsheetml/2006/main" count="218" uniqueCount="136">
  <si>
    <t>EMPLOYEE SALARY DASHBOARD</t>
  </si>
  <si>
    <t>SUM OF Salary</t>
  </si>
  <si>
    <t xml:space="preserve">AVG SALARY </t>
  </si>
  <si>
    <t>ISACTIVE(TRUE)</t>
  </si>
  <si>
    <t>TOP 5 SALARY</t>
  </si>
  <si>
    <t>SUM OF SCORE</t>
  </si>
  <si>
    <t>Grand Total</t>
  </si>
  <si>
    <t>2023</t>
  </si>
  <si>
    <t>2022</t>
  </si>
  <si>
    <t>Marketing</t>
  </si>
  <si>
    <t>2021</t>
  </si>
  <si>
    <t>HR</t>
  </si>
  <si>
    <t>2020</t>
  </si>
  <si>
    <t>Finance</t>
  </si>
  <si>
    <t>2019</t>
  </si>
  <si>
    <t>Engineering</t>
  </si>
  <si>
    <t>2018</t>
  </si>
  <si>
    <t>Sum of Salary</t>
  </si>
  <si>
    <t>Row Labels</t>
  </si>
  <si>
    <t>Count of Years (JoinDate)</t>
  </si>
  <si>
    <t>james.scott@example.com</t>
  </si>
  <si>
    <t>James Scott</t>
  </si>
  <si>
    <t>maria.lewis@example.com</t>
  </si>
  <si>
    <t>Maria Lewis</t>
  </si>
  <si>
    <t>david.robinson@example.com</t>
  </si>
  <si>
    <t>David Robinson</t>
  </si>
  <si>
    <t>angela.mitchell@example.com</t>
  </si>
  <si>
    <t>Angela Mitchell</t>
  </si>
  <si>
    <t>steven.collins@example.com</t>
  </si>
  <si>
    <t>Steven Collins</t>
  </si>
  <si>
    <t>katherine.white@example.com</t>
  </si>
  <si>
    <t>Katherine White</t>
  </si>
  <si>
    <t>richard.evans@example.com</t>
  </si>
  <si>
    <t>Richard Evans</t>
  </si>
  <si>
    <t>laura.phillips@example.com</t>
  </si>
  <si>
    <t>Laura Phillips</t>
  </si>
  <si>
    <t>patrick.thomas@example.com</t>
  </si>
  <si>
    <t>Patrick Thomas</t>
  </si>
  <si>
    <t>jennifer.murphy@example.com</t>
  </si>
  <si>
    <t>Jennifer Murphy</t>
  </si>
  <si>
    <t>kelly.brown@example.com</t>
  </si>
  <si>
    <t>Kelly Brown</t>
  </si>
  <si>
    <t>Count of Department</t>
  </si>
  <si>
    <t>steven.adams@example.com</t>
  </si>
  <si>
    <t>Steven Adams</t>
  </si>
  <si>
    <t>nancy.turner@example.com</t>
  </si>
  <si>
    <t>Nancy Turner</t>
  </si>
  <si>
    <t>(All)</t>
  </si>
  <si>
    <t>IsActive</t>
  </si>
  <si>
    <t>robert.johnson@example.com</t>
  </si>
  <si>
    <t>Robert Johnson</t>
  </si>
  <si>
    <t>amanda.allen@example.com</t>
  </si>
  <si>
    <t>Amanda Allen</t>
  </si>
  <si>
    <t>george.baker@example.com</t>
  </si>
  <si>
    <t>George Baker</t>
  </si>
  <si>
    <t>melissa.collins@example.com</t>
  </si>
  <si>
    <t>Melissa Collins</t>
  </si>
  <si>
    <t>anthony.morris@example.com</t>
  </si>
  <si>
    <t>Anthony Morris</t>
  </si>
  <si>
    <t>Count of IsActive</t>
  </si>
  <si>
    <t>victoria.roberts@example.com</t>
  </si>
  <si>
    <t>Victoria Roberts</t>
  </si>
  <si>
    <t>samuel.perez@example.com</t>
  </si>
  <si>
    <t>Samuel Perez</t>
  </si>
  <si>
    <t>rebecca.mitchell@example.com</t>
  </si>
  <si>
    <t>Rebecca Mitchell</t>
  </si>
  <si>
    <t>brandon.carter@example.com</t>
  </si>
  <si>
    <t>Brandon Carter</t>
  </si>
  <si>
    <t>grace.nelson@example.com</t>
  </si>
  <si>
    <t>Grace Nelson</t>
  </si>
  <si>
    <t>tyler.adams@example.com</t>
  </si>
  <si>
    <t>Tyler Adams</t>
  </si>
  <si>
    <t>Average of Salary2</t>
  </si>
  <si>
    <t>emily.hill@example.com</t>
  </si>
  <si>
    <t>Emily Hill</t>
  </si>
  <si>
    <t>jason.wright@example.com</t>
  </si>
  <si>
    <t>Jason Wright</t>
  </si>
  <si>
    <t>susan.king@example.com</t>
  </si>
  <si>
    <t>Susan King</t>
  </si>
  <si>
    <t>kevin.allen@example.com</t>
  </si>
  <si>
    <t>Kevin Allen</t>
  </si>
  <si>
    <t>jessica.hall@example.com</t>
  </si>
  <si>
    <t>Jessica Hall</t>
  </si>
  <si>
    <t>mark.scott@example.com</t>
  </si>
  <si>
    <t>Mark Scott</t>
  </si>
  <si>
    <t>nicole.young@example.com</t>
  </si>
  <si>
    <t>Nicole Young</t>
  </si>
  <si>
    <t>paul.walker@example.com</t>
  </si>
  <si>
    <t>Paul Walker</t>
  </si>
  <si>
    <t>laura.robinson@example.com</t>
  </si>
  <si>
    <t>Laura Robinson</t>
  </si>
  <si>
    <t>Steven Jackson</t>
  </si>
  <si>
    <t>andrew.lewis@example.com</t>
  </si>
  <si>
    <t>Andrew Lewis</t>
  </si>
  <si>
    <t>megan.clark@example.com</t>
  </si>
  <si>
    <t>Megan Clark</t>
  </si>
  <si>
    <t>James Taylor</t>
  </si>
  <si>
    <t>daniel.harris@example.com</t>
  </si>
  <si>
    <t>Daniel Harris</t>
  </si>
  <si>
    <t>olivia.lee@example.com</t>
  </si>
  <si>
    <t>Olivia Lee</t>
  </si>
  <si>
    <t>Bob Johnson</t>
  </si>
  <si>
    <t>steven.jackson@example.com</t>
  </si>
  <si>
    <t>karen.thomas@example.com</t>
  </si>
  <si>
    <t>Karen Thomas</t>
  </si>
  <si>
    <t>chris.martinez@example.com</t>
  </si>
  <si>
    <t>Chris Martinez</t>
  </si>
  <si>
    <t>Salary</t>
  </si>
  <si>
    <t>lisa.anderson@example.com</t>
  </si>
  <si>
    <t>Lisa Anderson</t>
  </si>
  <si>
    <t>james.taylor@example.com</t>
  </si>
  <si>
    <t>sarah.moore@example.com</t>
  </si>
  <si>
    <t>Sarah Moore</t>
  </si>
  <si>
    <t>david.wilson@example.com</t>
  </si>
  <si>
    <t>David Wilson</t>
  </si>
  <si>
    <t>emily.davis@example.com</t>
  </si>
  <si>
    <t>Emily Davis</t>
  </si>
  <si>
    <t>michael.brown@example.com</t>
  </si>
  <si>
    <t>Michael Brown</t>
  </si>
  <si>
    <t>alice.williams@example.com</t>
  </si>
  <si>
    <t>Alice Williams</t>
  </si>
  <si>
    <t>Sum of Score</t>
  </si>
  <si>
    <t>bob.johnson@example.com</t>
  </si>
  <si>
    <t>jane.smith@example.com</t>
  </si>
  <si>
    <t>Jane Smith</t>
  </si>
  <si>
    <t>john.doe@example.com</t>
  </si>
  <si>
    <t>John Doe</t>
  </si>
  <si>
    <t>Year</t>
  </si>
  <si>
    <t>Score</t>
  </si>
  <si>
    <t>LastLogin</t>
  </si>
  <si>
    <t>Department</t>
  </si>
  <si>
    <t>JoinDate</t>
  </si>
  <si>
    <t>Email</t>
  </si>
  <si>
    <t>Age</t>
  </si>
  <si>
    <t>Name</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</si>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</sst>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Aptos Narrow"/>
      <family val="2"/>
      <scheme val="minor"/>
    </font>
    <font>
      <b/>
      <sz val="11"/>
      <color theme="1"/>
      <name val="Aptos Narrow"/>
      <family val="2"/>
      <scheme val="minor"/>
    </font>
    <font>
      <sz val="11"/>
      <color theme="5" tint="-0.249977111117893"/>
      <name val="Aptos Narrow"/>
      <family val="2"/>
      <scheme val="minor"/>
    </font>
    <font>
      <sz val="24"/>
      <color theme="3" tint="9.9978637043366805E-2"/>
      <name val="Algerian"/>
      <family val="5"/>
    </font>
    <font>
      <sz val="20"/>
      <color theme="1"/>
      <name val="Aptos Narrow"/>
      <family val="2"/>
      <scheme val="minor"/>
    </font>
    <font>
      <u/>
      <sz val="11"/>
      <color theme="10"/>
      <name val="Aptos Narrow"/>
      <family val="2"/>
      <scheme val="minor"/>
    </font>
  </fonts>
  <fills count="3">
    <fill>
      <patternFill patternType="none"/>
    </fill>
    <fill>
      <patternFill patternType="gray125"/>
    </fill>
    <fill>
      <patternFill patternType="solid">
        <fgColor theme="4" tint="0.39997558519241921"/>
        <bgColor indexed="64"/>
      </patternFill>
    </fill>
  </fills>
  <borders count="17">
    <border>
      <left/>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5" fillId="0" borderId="0" applyNumberFormat="0" applyFill="0" applyBorder="0" applyAlignment="0" applyProtection="0"/>
  </cellStyleXfs>
  <cellXfs count="31">
    <xf numFmtId="0" fontId="0" fillId="0" borderId="0" xfId="0"/>
    <xf numFmtId="0" fontId="2" fillId="2" borderId="0" xfId="0" applyFont="1" applyFill="1"/>
    <xf numFmtId="0" fontId="0" fillId="0" borderId="0" xfId="0" applyAlignment="1">
      <alignment horizontal="left"/>
    </xf>
    <xf numFmtId="0" fontId="0" fillId="0" borderId="0" xfId="0" pivotButton="1"/>
    <xf numFmtId="0" fontId="0" fillId="0" borderId="15" xfId="0" applyBorder="1" applyAlignment="1">
      <alignment horizontal="center"/>
    </xf>
    <xf numFmtId="14" fontId="0" fillId="0" borderId="15" xfId="0" applyNumberFormat="1" applyBorder="1" applyAlignment="1">
      <alignment horizontal="center"/>
    </xf>
    <xf numFmtId="0" fontId="5" fillId="0" borderId="15" xfId="1" applyBorder="1" applyAlignment="1">
      <alignment horizontal="center"/>
    </xf>
    <xf numFmtId="0" fontId="1" fillId="0" borderId="16" xfId="0" applyFont="1" applyBorder="1" applyAlignment="1">
      <alignment horizontal="center"/>
    </xf>
    <xf numFmtId="0" fontId="1" fillId="0" borderId="15" xfId="0" applyFont="1" applyBorder="1" applyAlignment="1">
      <alignment horizontal="center"/>
    </xf>
    <xf numFmtId="0" fontId="1" fillId="2" borderId="11" xfId="0" applyFont="1" applyFill="1" applyBorder="1" applyAlignment="1">
      <alignment horizontal="center"/>
    </xf>
    <xf numFmtId="0" fontId="1" fillId="2" borderId="12" xfId="0" applyFont="1" applyFill="1" applyBorder="1" applyAlignment="1">
      <alignment horizontal="center"/>
    </xf>
    <xf numFmtId="0" fontId="1" fillId="2" borderId="13" xfId="0" applyFont="1" applyFill="1" applyBorder="1" applyAlignment="1">
      <alignment horizontal="center"/>
    </xf>
    <xf numFmtId="0" fontId="0" fillId="2" borderId="14" xfId="0" applyFill="1" applyBorder="1" applyAlignment="1">
      <alignment horizontal="center"/>
    </xf>
    <xf numFmtId="0" fontId="2" fillId="2" borderId="14" xfId="0" applyFont="1" applyFill="1" applyBorder="1" applyAlignment="1">
      <alignment horizontal="center"/>
    </xf>
    <xf numFmtId="0" fontId="2" fillId="2" borderId="0" xfId="0" applyFont="1" applyFill="1" applyAlignment="1">
      <alignment horizontal="center"/>
    </xf>
    <xf numFmtId="0" fontId="3" fillId="2" borderId="0" xfId="0" applyFont="1" applyFill="1" applyAlignment="1">
      <alignment horizontal="left"/>
    </xf>
    <xf numFmtId="0" fontId="4" fillId="2" borderId="1" xfId="0" applyFont="1" applyFill="1" applyBorder="1" applyAlignment="1">
      <alignment horizontal="center"/>
    </xf>
    <xf numFmtId="0" fontId="4" fillId="2" borderId="2" xfId="0" applyFont="1" applyFill="1" applyBorder="1" applyAlignment="1">
      <alignment horizontal="center"/>
    </xf>
    <xf numFmtId="0" fontId="4" fillId="2" borderId="6" xfId="0" applyFont="1" applyFill="1" applyBorder="1" applyAlignment="1">
      <alignment horizontal="center"/>
    </xf>
    <xf numFmtId="0" fontId="4" fillId="2" borderId="7" xfId="0" applyFont="1" applyFill="1" applyBorder="1" applyAlignment="1">
      <alignment horizontal="center"/>
    </xf>
    <xf numFmtId="1" fontId="4" fillId="2" borderId="3" xfId="0" applyNumberFormat="1" applyFont="1" applyFill="1" applyBorder="1" applyAlignment="1">
      <alignment horizontal="center"/>
    </xf>
    <xf numFmtId="1" fontId="4" fillId="2" borderId="4" xfId="0" applyNumberFormat="1" applyFont="1" applyFill="1" applyBorder="1" applyAlignment="1">
      <alignment horizontal="center"/>
    </xf>
    <xf numFmtId="1" fontId="4" fillId="2" borderId="8" xfId="0" applyNumberFormat="1" applyFont="1" applyFill="1" applyBorder="1" applyAlignment="1">
      <alignment horizontal="center"/>
    </xf>
    <xf numFmtId="1" fontId="4" fillId="2" borderId="9" xfId="0" applyNumberFormat="1" applyFont="1" applyFill="1" applyBorder="1" applyAlignment="1">
      <alignment horizontal="center"/>
    </xf>
    <xf numFmtId="0" fontId="4" fillId="2" borderId="3" xfId="0" applyFont="1" applyFill="1" applyBorder="1" applyAlignment="1">
      <alignment horizontal="center"/>
    </xf>
    <xf numFmtId="0" fontId="4" fillId="2" borderId="5" xfId="0" applyFont="1" applyFill="1" applyBorder="1" applyAlignment="1">
      <alignment horizontal="center"/>
    </xf>
    <xf numFmtId="0" fontId="4" fillId="2" borderId="8" xfId="0" applyFont="1" applyFill="1" applyBorder="1" applyAlignment="1">
      <alignment horizontal="center"/>
    </xf>
    <xf numFmtId="0" fontId="4" fillId="2" borderId="10" xfId="0" applyFont="1" applyFill="1" applyBorder="1" applyAlignment="1">
      <alignment horizontal="center"/>
    </xf>
    <xf numFmtId="0" fontId="4" fillId="2" borderId="4" xfId="0" applyFont="1" applyFill="1" applyBorder="1" applyAlignment="1">
      <alignment horizontal="center"/>
    </xf>
    <xf numFmtId="0" fontId="4" fillId="2" borderId="9" xfId="0" applyFont="1" applyFill="1" applyBorder="1" applyAlignment="1">
      <alignment horizontal="center"/>
    </xf>
    <xf numFmtId="0" fontId="0" fillId="0" borderId="0" xfId="0" applyAlignment="1">
      <alignment horizontal="center"/>
    </xf>
  </cellXfs>
  <cellStyles count="2">
    <cellStyle name="Hyperlink" xfId="1" builtinId="8"/>
    <cellStyle name="Normal" xfId="0" builtinId="0"/>
  </cellStyles>
  <dxfs count="0"/>
  <tableStyles count="1" defaultTableStyle="TableStyleMedium2" defaultPivotStyle="PivotStyleLight16">
    <tableStyle name="Invisible" pivot="0" table="0" count="0" xr9:uid="{3653C2FA-5753-4516-B7AF-AA1C303E4D4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lumMod val="95000"/>
                    <a:lumOff val="5000"/>
                  </a:schemeClr>
                </a:solidFill>
              </a:rPr>
              <a:t>Total</a:t>
            </a:r>
            <a:r>
              <a:rPr lang="en-US" sz="1600" b="1" baseline="0">
                <a:solidFill>
                  <a:schemeClr val="tx1">
                    <a:lumMod val="95000"/>
                    <a:lumOff val="5000"/>
                  </a:schemeClr>
                </a:solidFill>
              </a:rPr>
              <a:t> Salary of Each Department</a:t>
            </a:r>
            <a:r>
              <a:rPr lang="en-US" sz="1600" b="1"/>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tx1"/>
            </a:solidFill>
          </a:ln>
          <a:effectLst/>
        </c:spPr>
      </c:pivotFmt>
      <c:pivotFmt>
        <c:idx val="8"/>
        <c:spPr>
          <a:solidFill>
            <a:schemeClr val="accent1"/>
          </a:solidFill>
          <a:ln w="19050">
            <a:solidFill>
              <a:schemeClr val="tx1"/>
            </a:solidFill>
          </a:ln>
          <a:effectLst/>
        </c:spPr>
      </c:pivotFmt>
      <c:pivotFmt>
        <c:idx val="9"/>
        <c:spPr>
          <a:solidFill>
            <a:schemeClr val="accent1"/>
          </a:solidFill>
          <a:ln w="19050">
            <a:solidFill>
              <a:schemeClr val="tx1"/>
            </a:solidFill>
          </a:ln>
          <a:effectLst/>
        </c:spPr>
      </c:pivotFmt>
      <c:pivotFmt>
        <c:idx val="10"/>
        <c:spPr>
          <a:solidFill>
            <a:schemeClr val="accent1"/>
          </a:solidFill>
          <a:ln w="19050">
            <a:solidFill>
              <a:schemeClr val="tx1"/>
            </a:solidFill>
          </a:ln>
          <a:effectLst/>
        </c:spPr>
        <c:dLbl>
          <c:idx val="0"/>
          <c:layout>
            <c:manualLayout>
              <c:x val="0.10991663948097835"/>
              <c:y val="0.14391716505461186"/>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v>Total</c:v>
          </c:tx>
          <c:spPr>
            <a:ln>
              <a:solidFill>
                <a:schemeClr val="tx1"/>
              </a:solidFill>
            </a:ln>
          </c:spPr>
          <c:dPt>
            <c:idx val="0"/>
            <c:bubble3D val="0"/>
            <c:spPr>
              <a:solidFill>
                <a:schemeClr val="accent1"/>
              </a:solidFill>
              <a:ln w="19050">
                <a:solidFill>
                  <a:schemeClr val="tx1"/>
                </a:solidFill>
              </a:ln>
              <a:effectLst/>
            </c:spPr>
            <c:extLst>
              <c:ext xmlns:c16="http://schemas.microsoft.com/office/drawing/2014/chart" uri="{C3380CC4-5D6E-409C-BE32-E72D297353CC}">
                <c16:uniqueId val="{00000001-0F1D-4E94-845F-3615ADD7AF83}"/>
              </c:ext>
            </c:extLst>
          </c:dPt>
          <c:dPt>
            <c:idx val="1"/>
            <c:bubble3D val="0"/>
            <c:spPr>
              <a:solidFill>
                <a:schemeClr val="accent2"/>
              </a:solidFill>
              <a:ln w="19050">
                <a:solidFill>
                  <a:schemeClr val="tx1"/>
                </a:solidFill>
              </a:ln>
              <a:effectLst/>
            </c:spPr>
            <c:extLst>
              <c:ext xmlns:c16="http://schemas.microsoft.com/office/drawing/2014/chart" uri="{C3380CC4-5D6E-409C-BE32-E72D297353CC}">
                <c16:uniqueId val="{00000003-0F1D-4E94-845F-3615ADD7AF83}"/>
              </c:ext>
            </c:extLst>
          </c:dPt>
          <c:dPt>
            <c:idx val="2"/>
            <c:bubble3D val="0"/>
            <c:spPr>
              <a:solidFill>
                <a:schemeClr val="accent3"/>
              </a:solidFill>
              <a:ln w="19050">
                <a:solidFill>
                  <a:schemeClr val="tx1"/>
                </a:solidFill>
              </a:ln>
              <a:effectLst/>
            </c:spPr>
            <c:extLst>
              <c:ext xmlns:c16="http://schemas.microsoft.com/office/drawing/2014/chart" uri="{C3380CC4-5D6E-409C-BE32-E72D297353CC}">
                <c16:uniqueId val="{00000005-0F1D-4E94-845F-3615ADD7AF83}"/>
              </c:ext>
            </c:extLst>
          </c:dPt>
          <c:dPt>
            <c:idx val="3"/>
            <c:bubble3D val="0"/>
            <c:spPr>
              <a:solidFill>
                <a:schemeClr val="accent4"/>
              </a:solidFill>
              <a:ln w="19050">
                <a:solidFill>
                  <a:schemeClr val="tx1"/>
                </a:solidFill>
              </a:ln>
              <a:effectLst/>
            </c:spPr>
            <c:extLst>
              <c:ext xmlns:c16="http://schemas.microsoft.com/office/drawing/2014/chart" uri="{C3380CC4-5D6E-409C-BE32-E72D297353CC}">
                <c16:uniqueId val="{00000007-0F1D-4E94-845F-3615ADD7AF83}"/>
              </c:ext>
            </c:extLst>
          </c:dPt>
          <c:dLbls>
            <c:dLbl>
              <c:idx val="3"/>
              <c:layout>
                <c:manualLayout>
                  <c:x val="0.10991663948097835"/>
                  <c:y val="0.14391716505461186"/>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F1D-4E94-845F-3615ADD7AF83}"/>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4"/>
              <c:pt idx="0">
                <c:v>Engineering</c:v>
              </c:pt>
              <c:pt idx="1">
                <c:v>Finance</c:v>
              </c:pt>
              <c:pt idx="2">
                <c:v>HR</c:v>
              </c:pt>
              <c:pt idx="3">
                <c:v>Marketing</c:v>
              </c:pt>
            </c:strLit>
          </c:cat>
          <c:val>
            <c:numLit>
              <c:formatCode>General</c:formatCode>
              <c:ptCount val="4"/>
              <c:pt idx="0">
                <c:v>687000</c:v>
              </c:pt>
              <c:pt idx="1">
                <c:v>823000</c:v>
              </c:pt>
              <c:pt idx="2">
                <c:v>714000</c:v>
              </c:pt>
              <c:pt idx="3">
                <c:v>757000</c:v>
              </c:pt>
            </c:numLit>
          </c:val>
          <c:extLst>
            <c:ext xmlns:c16="http://schemas.microsoft.com/office/drawing/2014/chart" uri="{C3380CC4-5D6E-409C-BE32-E72D297353CC}">
              <c16:uniqueId val="{00000008-0F1D-4E94-845F-3615ADD7AF8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sz="1600" b="1">
                <a:solidFill>
                  <a:schemeClr val="tx1"/>
                </a:solidFill>
              </a:rPr>
              <a:t>Top 5</a:t>
            </a:r>
            <a:r>
              <a:rPr lang="en-US" sz="1600" b="1" baseline="0">
                <a:solidFill>
                  <a:schemeClr val="tx1"/>
                </a:solidFill>
              </a:rPr>
              <a:t> Employees with Salaries</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5"/>
              <c:pt idx="0">
                <c:v>Bob Johnson</c:v>
              </c:pt>
              <c:pt idx="1">
                <c:v>George Baker</c:v>
              </c:pt>
              <c:pt idx="2">
                <c:v>James Taylor</c:v>
              </c:pt>
              <c:pt idx="3">
                <c:v>Samuel Perez</c:v>
              </c:pt>
              <c:pt idx="4">
                <c:v>Steven Jackson</c:v>
              </c:pt>
            </c:strLit>
          </c:cat>
          <c:val>
            <c:numLit>
              <c:formatCode>General</c:formatCode>
              <c:ptCount val="5"/>
              <c:pt idx="0">
                <c:v>75000</c:v>
              </c:pt>
              <c:pt idx="1">
                <c:v>70000</c:v>
              </c:pt>
              <c:pt idx="2">
                <c:v>70000</c:v>
              </c:pt>
              <c:pt idx="3">
                <c:v>72000</c:v>
              </c:pt>
              <c:pt idx="4">
                <c:v>70000</c:v>
              </c:pt>
            </c:numLit>
          </c:val>
          <c:extLst>
            <c:ext xmlns:c16="http://schemas.microsoft.com/office/drawing/2014/chart" uri="{C3380CC4-5D6E-409C-BE32-E72D297353CC}">
              <c16:uniqueId val="{00000000-28F5-4092-8B6C-1415FA5E305F}"/>
            </c:ext>
          </c:extLst>
        </c:ser>
        <c:dLbls>
          <c:dLblPos val="inEnd"/>
          <c:showLegendKey val="0"/>
          <c:showVal val="1"/>
          <c:showCatName val="0"/>
          <c:showSerName val="0"/>
          <c:showPercent val="0"/>
          <c:showBubbleSize val="0"/>
        </c:dLbls>
        <c:gapWidth val="41"/>
        <c:axId val="1464066351"/>
        <c:axId val="1464066831"/>
      </c:barChart>
      <c:catAx>
        <c:axId val="14640663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464066831"/>
        <c:crosses val="autoZero"/>
        <c:auto val="1"/>
        <c:lblAlgn val="ctr"/>
        <c:lblOffset val="100"/>
        <c:noMultiLvlLbl val="0"/>
      </c:catAx>
      <c:valAx>
        <c:axId val="1464066831"/>
        <c:scaling>
          <c:orientation val="minMax"/>
        </c:scaling>
        <c:delete val="1"/>
        <c:axPos val="l"/>
        <c:numFmt formatCode="General" sourceLinked="1"/>
        <c:majorTickMark val="none"/>
        <c:minorTickMark val="none"/>
        <c:tickLblPos val="nextTo"/>
        <c:crossAx val="1464066351"/>
        <c:crosses val="autoZero"/>
        <c:crossBetween val="between"/>
      </c:valAx>
      <c:spPr>
        <a:noFill/>
        <a:ln>
          <a:noFill/>
        </a:ln>
        <a:effectLst/>
      </c:spPr>
    </c:plotArea>
    <c:legend>
      <c:legendPos val="r"/>
      <c:overlay val="0"/>
      <c:spPr>
        <a:solidFill>
          <a:schemeClr val="accent1">
            <a:lumMod val="60000"/>
            <a:lumOff val="4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b="1">
                <a:solidFill>
                  <a:schemeClr val="tx1"/>
                </a:solidFill>
              </a:rPr>
              <a:t>Total</a:t>
            </a:r>
            <a:r>
              <a:rPr lang="en-US" b="1" baseline="0">
                <a:solidFill>
                  <a:schemeClr val="tx1"/>
                </a:solidFill>
              </a:rPr>
              <a:t> Score by Each Department</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tx1">
                <a:lumMod val="95000"/>
                <a:lumOff val="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alpha val="85000"/>
              </a:schemeClr>
            </a:solidFill>
            <a:ln w="9525" cap="flat" cmpd="sng" algn="ctr">
              <a:solidFill>
                <a:schemeClr val="tx1">
                  <a:lumMod val="95000"/>
                  <a:lumOff val="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4"/>
              <c:pt idx="0">
                <c:v>Engineering</c:v>
              </c:pt>
              <c:pt idx="1">
                <c:v>Finance</c:v>
              </c:pt>
              <c:pt idx="2">
                <c:v>HR</c:v>
              </c:pt>
              <c:pt idx="3">
                <c:v>Marketing</c:v>
              </c:pt>
            </c:strLit>
          </c:cat>
          <c:val>
            <c:numLit>
              <c:formatCode>General</c:formatCode>
              <c:ptCount val="4"/>
              <c:pt idx="0">
                <c:v>889</c:v>
              </c:pt>
              <c:pt idx="1">
                <c:v>1137</c:v>
              </c:pt>
              <c:pt idx="2">
                <c:v>1124</c:v>
              </c:pt>
              <c:pt idx="3">
                <c:v>1065</c:v>
              </c:pt>
            </c:numLit>
          </c:val>
          <c:extLst>
            <c:ext xmlns:c16="http://schemas.microsoft.com/office/drawing/2014/chart" uri="{C3380CC4-5D6E-409C-BE32-E72D297353CC}">
              <c16:uniqueId val="{00000000-E9E4-4D65-A5DB-87B88AF7949E}"/>
            </c:ext>
          </c:extLst>
        </c:ser>
        <c:dLbls>
          <c:dLblPos val="outEnd"/>
          <c:showLegendKey val="0"/>
          <c:showVal val="1"/>
          <c:showCatName val="0"/>
          <c:showSerName val="0"/>
          <c:showPercent val="0"/>
          <c:showBubbleSize val="0"/>
        </c:dLbls>
        <c:gapWidth val="65"/>
        <c:axId val="1465230591"/>
        <c:axId val="1465220991"/>
      </c:barChart>
      <c:catAx>
        <c:axId val="1465230591"/>
        <c:scaling>
          <c:orientation val="minMax"/>
        </c:scaling>
        <c:delete val="0"/>
        <c:axPos val="l"/>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65220991"/>
        <c:crosses val="autoZero"/>
        <c:auto val="1"/>
        <c:lblAlgn val="ctr"/>
        <c:lblOffset val="100"/>
        <c:noMultiLvlLbl val="0"/>
      </c:catAx>
      <c:valAx>
        <c:axId val="1465220991"/>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465230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95000"/>
                    <a:lumOff val="5000"/>
                  </a:schemeClr>
                </a:solidFill>
              </a:rPr>
              <a:t>Total</a:t>
            </a:r>
            <a:r>
              <a:rPr lang="en-US" b="1" baseline="0">
                <a:solidFill>
                  <a:schemeClr val="tx1">
                    <a:lumMod val="95000"/>
                    <a:lumOff val="5000"/>
                  </a:schemeClr>
                </a:solidFill>
              </a:rPr>
              <a:t> Salary in %</a:t>
            </a:r>
            <a:endParaRPr lang="en-US"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w="19050">
            <a:solidFill>
              <a:schemeClr val="tx1">
                <a:lumMod val="95000"/>
                <a:lumOff val="5000"/>
              </a:schemeClr>
            </a:solidFill>
          </a:ln>
          <a:effectLst/>
        </c:spPr>
        <c:marker>
          <c:symbol val="none"/>
        </c:marker>
        <c:dLbl>
          <c:idx val="0"/>
          <c:spPr>
            <a:solidFill>
              <a:schemeClr val="accent1">
                <a:lumMod val="40000"/>
                <a:lumOff val="60000"/>
              </a:schemeClr>
            </a:solidFill>
            <a:ln>
              <a:solidFill>
                <a:schemeClr val="tx1">
                  <a:lumMod val="95000"/>
                  <a:lumOff val="5000"/>
                </a:schemeClr>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tx1">
                <a:lumMod val="95000"/>
                <a:lumOff val="5000"/>
              </a:schemeClr>
            </a:solidFill>
          </a:ln>
          <a:effectLst/>
        </c:spPr>
        <c:dLbl>
          <c:idx val="0"/>
          <c:layout>
            <c:manualLayout>
              <c:x val="0.1056519633282197"/>
              <c:y val="-9.9466875352455256E-2"/>
            </c:manualLayout>
          </c:layout>
          <c:spPr>
            <a:solidFill>
              <a:schemeClr val="accent1">
                <a:lumMod val="40000"/>
                <a:lumOff val="60000"/>
              </a:schemeClr>
            </a:solidFill>
            <a:ln>
              <a:solidFill>
                <a:schemeClr val="tx1">
                  <a:lumMod val="95000"/>
                  <a:lumOff val="5000"/>
                </a:schemeClr>
              </a:solidFill>
            </a:ln>
            <a:effectLst/>
          </c:spPr>
          <c:txPr>
            <a:bodyPr rot="0" spcFirstLastPara="1" vertOverflow="ellipsis" vert="horz" wrap="square" lIns="38100" tIns="19050" rIns="38100" bIns="19050" anchor="ctr" anchorCtr="1">
              <a:noAutofit/>
            </a:bodyPr>
            <a:lstStyle/>
            <a:p>
              <a:pPr>
                <a:defRPr sz="18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1185716292140975"/>
                  <c:h val="8.0689751627962242E-2"/>
                </c:manualLayout>
              </c15:layout>
            </c:ext>
          </c:extLst>
        </c:dLbl>
      </c:pivotFmt>
      <c:pivotFmt>
        <c:idx val="8"/>
        <c:spPr>
          <a:solidFill>
            <a:schemeClr val="accent1"/>
          </a:solidFill>
          <a:ln w="19050">
            <a:solidFill>
              <a:schemeClr val="tx1">
                <a:lumMod val="95000"/>
                <a:lumOff val="5000"/>
              </a:schemeClr>
            </a:solidFill>
          </a:ln>
          <a:effectLst/>
        </c:spPr>
        <c:dLbl>
          <c:idx val="0"/>
          <c:layout>
            <c:manualLayout>
              <c:x val="7.5023324578903455E-2"/>
              <c:y val="0.11134084592239524"/>
            </c:manualLayout>
          </c:layout>
          <c:spPr>
            <a:solidFill>
              <a:schemeClr val="accent1">
                <a:lumMod val="40000"/>
                <a:lumOff val="60000"/>
              </a:schemeClr>
            </a:solidFill>
            <a:ln>
              <a:solidFill>
                <a:schemeClr val="tx1">
                  <a:lumMod val="95000"/>
                  <a:lumOff val="5000"/>
                </a:schemeClr>
              </a:solid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tx1">
                <a:lumMod val="95000"/>
                <a:lumOff val="5000"/>
              </a:schemeClr>
            </a:solidFill>
          </a:ln>
          <a:effectLst/>
        </c:spPr>
        <c:dLbl>
          <c:idx val="0"/>
          <c:layout>
            <c:manualLayout>
              <c:x val="-0.10285531400611664"/>
              <c:y val="8.3602198799286931E-2"/>
            </c:manualLayout>
          </c:layout>
          <c:spPr>
            <a:solidFill>
              <a:schemeClr val="accent1">
                <a:lumMod val="40000"/>
                <a:lumOff val="60000"/>
              </a:schemeClr>
            </a:solidFill>
            <a:ln>
              <a:solidFill>
                <a:schemeClr val="tx1">
                  <a:lumMod val="95000"/>
                  <a:lumOff val="5000"/>
                </a:schemeClr>
              </a:solid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tx1">
                <a:lumMod val="95000"/>
                <a:lumOff val="5000"/>
              </a:schemeClr>
            </a:solidFill>
          </a:ln>
          <a:effectLst/>
        </c:spPr>
        <c:dLbl>
          <c:idx val="0"/>
          <c:layout>
            <c:manualLayout>
              <c:x val="-6.9500125631800899E-2"/>
              <c:y val="-0.18612616948096986"/>
            </c:manualLayout>
          </c:layout>
          <c:spPr>
            <a:solidFill>
              <a:schemeClr val="accent1">
                <a:lumMod val="40000"/>
                <a:lumOff val="60000"/>
              </a:schemeClr>
            </a:solidFill>
            <a:ln>
              <a:solidFill>
                <a:schemeClr val="tx1">
                  <a:lumMod val="95000"/>
                  <a:lumOff val="5000"/>
                </a:schemeClr>
              </a:solid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v>Total</c:v>
          </c:tx>
          <c:spPr>
            <a:ln>
              <a:solidFill>
                <a:schemeClr val="tx1">
                  <a:lumMod val="95000"/>
                  <a:lumOff val="5000"/>
                </a:schemeClr>
              </a:solidFill>
            </a:ln>
          </c:spPr>
          <c:dPt>
            <c:idx val="0"/>
            <c:bubble3D val="0"/>
            <c:spPr>
              <a:solidFill>
                <a:schemeClr val="accent1"/>
              </a:solidFill>
              <a:ln w="19050">
                <a:solidFill>
                  <a:schemeClr val="tx1">
                    <a:lumMod val="95000"/>
                    <a:lumOff val="5000"/>
                  </a:schemeClr>
                </a:solidFill>
              </a:ln>
              <a:effectLst/>
            </c:spPr>
            <c:extLst>
              <c:ext xmlns:c16="http://schemas.microsoft.com/office/drawing/2014/chart" uri="{C3380CC4-5D6E-409C-BE32-E72D297353CC}">
                <c16:uniqueId val="{00000001-BC95-44FD-B751-8171CB3C57BB}"/>
              </c:ext>
            </c:extLst>
          </c:dPt>
          <c:dPt>
            <c:idx val="1"/>
            <c:bubble3D val="0"/>
            <c:spPr>
              <a:solidFill>
                <a:schemeClr val="accent2"/>
              </a:solidFill>
              <a:ln w="19050">
                <a:solidFill>
                  <a:schemeClr val="tx1">
                    <a:lumMod val="95000"/>
                    <a:lumOff val="5000"/>
                  </a:schemeClr>
                </a:solidFill>
              </a:ln>
              <a:effectLst/>
            </c:spPr>
            <c:extLst>
              <c:ext xmlns:c16="http://schemas.microsoft.com/office/drawing/2014/chart" uri="{C3380CC4-5D6E-409C-BE32-E72D297353CC}">
                <c16:uniqueId val="{00000003-BC95-44FD-B751-8171CB3C57BB}"/>
              </c:ext>
            </c:extLst>
          </c:dPt>
          <c:dPt>
            <c:idx val="2"/>
            <c:bubble3D val="0"/>
            <c:spPr>
              <a:solidFill>
                <a:schemeClr val="accent3"/>
              </a:solidFill>
              <a:ln w="19050">
                <a:solidFill>
                  <a:schemeClr val="tx1">
                    <a:lumMod val="95000"/>
                    <a:lumOff val="5000"/>
                  </a:schemeClr>
                </a:solidFill>
              </a:ln>
              <a:effectLst/>
            </c:spPr>
            <c:extLst>
              <c:ext xmlns:c16="http://schemas.microsoft.com/office/drawing/2014/chart" uri="{C3380CC4-5D6E-409C-BE32-E72D297353CC}">
                <c16:uniqueId val="{00000005-BC95-44FD-B751-8171CB3C57BB}"/>
              </c:ext>
            </c:extLst>
          </c:dPt>
          <c:dPt>
            <c:idx val="3"/>
            <c:bubble3D val="0"/>
            <c:spPr>
              <a:solidFill>
                <a:schemeClr val="accent4"/>
              </a:solidFill>
              <a:ln w="19050">
                <a:solidFill>
                  <a:schemeClr val="tx1">
                    <a:lumMod val="95000"/>
                    <a:lumOff val="5000"/>
                  </a:schemeClr>
                </a:solidFill>
              </a:ln>
              <a:effectLst/>
            </c:spPr>
            <c:extLst>
              <c:ext xmlns:c16="http://schemas.microsoft.com/office/drawing/2014/chart" uri="{C3380CC4-5D6E-409C-BE32-E72D297353CC}">
                <c16:uniqueId val="{00000007-BC95-44FD-B751-8171CB3C57BB}"/>
              </c:ext>
            </c:extLst>
          </c:dPt>
          <c:dLbls>
            <c:dLbl>
              <c:idx val="0"/>
              <c:layout>
                <c:manualLayout>
                  <c:x val="-0.10285531400611664"/>
                  <c:y val="8.3602198799286931E-2"/>
                </c:manualLayout>
              </c:layout>
              <c:spPr>
                <a:solidFill>
                  <a:schemeClr val="accent1">
                    <a:lumMod val="40000"/>
                    <a:lumOff val="60000"/>
                  </a:schemeClr>
                </a:solidFill>
                <a:ln>
                  <a:solidFill>
                    <a:schemeClr val="tx1">
                      <a:lumMod val="95000"/>
                      <a:lumOff val="5000"/>
                    </a:schemeClr>
                  </a:solid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C95-44FD-B751-8171CB3C57BB}"/>
                </c:ext>
              </c:extLst>
            </c:dLbl>
            <c:spPr>
              <a:solidFill>
                <a:schemeClr val="accent1">
                  <a:lumMod val="40000"/>
                  <a:lumOff val="60000"/>
                </a:schemeClr>
              </a:solidFill>
              <a:ln>
                <a:solidFill>
                  <a:schemeClr val="tx1">
                    <a:lumMod val="95000"/>
                    <a:lumOff val="5000"/>
                  </a:schemeClr>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1"/>
              <c:pt idx="0">
                <c:v>HR</c:v>
              </c:pt>
            </c:strLit>
          </c:cat>
          <c:val>
            <c:numLit>
              <c:formatCode>General</c:formatCode>
              <c:ptCount val="1"/>
              <c:pt idx="0">
                <c:v>13</c:v>
              </c:pt>
            </c:numLit>
          </c:val>
          <c:extLst>
            <c:ext xmlns:c16="http://schemas.microsoft.com/office/drawing/2014/chart" uri="{C3380CC4-5D6E-409C-BE32-E72D297353CC}">
              <c16:uniqueId val="{00000008-BC95-44FD-B751-8171CB3C57BB}"/>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95000"/>
                    <a:lumOff val="5000"/>
                  </a:schemeClr>
                </a:solidFill>
              </a:rPr>
              <a:t>Total Joining in years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6"/>
              <c:pt idx="0">
                <c:v>2018</c:v>
              </c:pt>
              <c:pt idx="1">
                <c:v>2019</c:v>
              </c:pt>
              <c:pt idx="2">
                <c:v>2020</c:v>
              </c:pt>
              <c:pt idx="3">
                <c:v>2021</c:v>
              </c:pt>
              <c:pt idx="4">
                <c:v>2022</c:v>
              </c:pt>
              <c:pt idx="5">
                <c:v>2023</c:v>
              </c:pt>
            </c:strLit>
          </c:cat>
          <c:val>
            <c:numLit>
              <c:formatCode>General</c:formatCode>
              <c:ptCount val="6"/>
              <c:pt idx="0">
                <c:v>2</c:v>
              </c:pt>
              <c:pt idx="1">
                <c:v>7</c:v>
              </c:pt>
              <c:pt idx="2">
                <c:v>9</c:v>
              </c:pt>
              <c:pt idx="3">
                <c:v>11</c:v>
              </c:pt>
              <c:pt idx="4">
                <c:v>11</c:v>
              </c:pt>
              <c:pt idx="5">
                <c:v>10</c:v>
              </c:pt>
            </c:numLit>
          </c:val>
          <c:extLst>
            <c:ext xmlns:c16="http://schemas.microsoft.com/office/drawing/2014/chart" uri="{C3380CC4-5D6E-409C-BE32-E72D297353CC}">
              <c16:uniqueId val="{00000000-51DB-491B-9375-FCE2B8CDC341}"/>
            </c:ext>
          </c:extLst>
        </c:ser>
        <c:dLbls>
          <c:showLegendKey val="0"/>
          <c:showVal val="0"/>
          <c:showCatName val="0"/>
          <c:showSerName val="0"/>
          <c:showPercent val="0"/>
          <c:showBubbleSize val="0"/>
        </c:dLbls>
        <c:gapWidth val="219"/>
        <c:overlap val="-27"/>
        <c:axId val="1673679023"/>
        <c:axId val="1673685743"/>
      </c:barChart>
      <c:catAx>
        <c:axId val="1673679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3685743"/>
        <c:crosses val="autoZero"/>
        <c:auto val="1"/>
        <c:lblAlgn val="ctr"/>
        <c:lblOffset val="100"/>
        <c:noMultiLvlLbl val="0"/>
      </c:catAx>
      <c:valAx>
        <c:axId val="1673685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3679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95000"/>
          <a:lumOff val="5000"/>
        </a:schemeClr>
      </a:solidFill>
      <a:round/>
    </a:ln>
    <a:effectLst>
      <a:outerShdw blurRad="50800" dist="38100" dir="2700000" algn="tl" rotWithShape="0">
        <a:prstClr val="black">
          <a:alpha val="0"/>
        </a:prstClr>
      </a:outerShdw>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pattFill prst="ltUpDiag">
              <a:fgClr>
                <a:schemeClr val="accent1"/>
              </a:fgClr>
              <a:bgClr>
                <a:schemeClr val="lt1"/>
              </a:bgClr>
            </a:pattFill>
            <a:ln>
              <a:noFill/>
            </a:ln>
            <a:effectLst/>
          </c:spPr>
          <c:invertIfNegative val="0"/>
          <c:cat>
            <c:strLit>
              <c:ptCount val="4"/>
              <c:pt idx="0">
                <c:v>Engineering</c:v>
              </c:pt>
              <c:pt idx="1">
                <c:v>Finance</c:v>
              </c:pt>
              <c:pt idx="2">
                <c:v>HR</c:v>
              </c:pt>
              <c:pt idx="3">
                <c:v>Marketing</c:v>
              </c:pt>
            </c:strLit>
          </c:cat>
          <c:val>
            <c:numLit>
              <c:formatCode>General</c:formatCode>
              <c:ptCount val="4"/>
              <c:pt idx="0">
                <c:v>11</c:v>
              </c:pt>
              <c:pt idx="1">
                <c:v>13</c:v>
              </c:pt>
              <c:pt idx="2">
                <c:v>13</c:v>
              </c:pt>
              <c:pt idx="3">
                <c:v>13</c:v>
              </c:pt>
            </c:numLit>
          </c:val>
          <c:extLst>
            <c:ext xmlns:c16="http://schemas.microsoft.com/office/drawing/2014/chart" uri="{C3380CC4-5D6E-409C-BE32-E72D297353CC}">
              <c16:uniqueId val="{00000000-DE3B-4B3D-BFB1-D5E890024B13}"/>
            </c:ext>
          </c:extLst>
        </c:ser>
        <c:dLbls>
          <c:showLegendKey val="0"/>
          <c:showVal val="0"/>
          <c:showCatName val="0"/>
          <c:showSerName val="0"/>
          <c:showPercent val="0"/>
          <c:showBubbleSize val="0"/>
        </c:dLbls>
        <c:gapWidth val="269"/>
        <c:overlap val="-20"/>
        <c:axId val="1096607247"/>
        <c:axId val="1096595247"/>
      </c:barChart>
      <c:catAx>
        <c:axId val="1096607247"/>
        <c:scaling>
          <c:orientation val="minMax"/>
        </c:scaling>
        <c:delete val="0"/>
        <c:axPos val="l"/>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096595247"/>
        <c:crosses val="autoZero"/>
        <c:auto val="1"/>
        <c:lblAlgn val="ctr"/>
        <c:lblOffset val="100"/>
        <c:noMultiLvlLbl val="0"/>
      </c:catAx>
      <c:valAx>
        <c:axId val="1096595247"/>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96607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9</xdr:col>
      <xdr:colOff>120650</xdr:colOff>
      <xdr:row>25</xdr:row>
      <xdr:rowOff>25400</xdr:rowOff>
    </xdr:from>
    <xdr:to>
      <xdr:col>16</xdr:col>
      <xdr:colOff>515188</xdr:colOff>
      <xdr:row>40</xdr:row>
      <xdr:rowOff>6350</xdr:rowOff>
    </xdr:to>
    <xdr:graphicFrame macro="">
      <xdr:nvGraphicFramePr>
        <xdr:cNvPr id="2" name="Chart 1">
          <a:extLst>
            <a:ext uri="{FF2B5EF4-FFF2-40B4-BE49-F238E27FC236}">
              <a16:creationId xmlns:a16="http://schemas.microsoft.com/office/drawing/2014/main" id="{C86A3EA4-415D-4ECB-8D20-2F01464AB3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495300</xdr:colOff>
      <xdr:row>25</xdr:row>
      <xdr:rowOff>31750</xdr:rowOff>
    </xdr:from>
    <xdr:to>
      <xdr:col>8</xdr:col>
      <xdr:colOff>508000</xdr:colOff>
      <xdr:row>39</xdr:row>
      <xdr:rowOff>127000</xdr:rowOff>
    </xdr:to>
    <xdr:graphicFrame macro="">
      <xdr:nvGraphicFramePr>
        <xdr:cNvPr id="3" name="Chart 2">
          <a:extLst>
            <a:ext uri="{FF2B5EF4-FFF2-40B4-BE49-F238E27FC236}">
              <a16:creationId xmlns:a16="http://schemas.microsoft.com/office/drawing/2014/main" id="{E173F0CC-0F66-4680-85B5-264470A4F7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526154</xdr:colOff>
      <xdr:row>8</xdr:row>
      <xdr:rowOff>99023</xdr:rowOff>
    </xdr:from>
    <xdr:to>
      <xdr:col>8</xdr:col>
      <xdr:colOff>556755</xdr:colOff>
      <xdr:row>23</xdr:row>
      <xdr:rowOff>88006</xdr:rowOff>
    </xdr:to>
    <xdr:graphicFrame macro="">
      <xdr:nvGraphicFramePr>
        <xdr:cNvPr id="4" name="Chart 3">
          <a:extLst>
            <a:ext uri="{FF2B5EF4-FFF2-40B4-BE49-F238E27FC236}">
              <a16:creationId xmlns:a16="http://schemas.microsoft.com/office/drawing/2014/main" id="{DED3F3CE-5E87-4C4B-8CC4-74EC3D12EA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221867</xdr:colOff>
      <xdr:row>8</xdr:row>
      <xdr:rowOff>91808</xdr:rowOff>
    </xdr:from>
    <xdr:to>
      <xdr:col>16</xdr:col>
      <xdr:colOff>509530</xdr:colOff>
      <xdr:row>23</xdr:row>
      <xdr:rowOff>80791</xdr:rowOff>
    </xdr:to>
    <xdr:graphicFrame macro="">
      <xdr:nvGraphicFramePr>
        <xdr:cNvPr id="5" name="Chart 4">
          <a:extLst>
            <a:ext uri="{FF2B5EF4-FFF2-40B4-BE49-F238E27FC236}">
              <a16:creationId xmlns:a16="http://schemas.microsoft.com/office/drawing/2014/main" id="{75D3036E-41A5-42C2-B193-E237C0B6C2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108341</xdr:colOff>
      <xdr:row>3</xdr:row>
      <xdr:rowOff>131547</xdr:rowOff>
    </xdr:from>
    <xdr:to>
      <xdr:col>17</xdr:col>
      <xdr:colOff>368457</xdr:colOff>
      <xdr:row>7</xdr:row>
      <xdr:rowOff>78395</xdr:rowOff>
    </xdr:to>
    <mc:AlternateContent xmlns:mc="http://schemas.openxmlformats.org/markup-compatibility/2006" xmlns:a14="http://schemas.microsoft.com/office/drawing/2010/main">
      <mc:Choice Requires="a14">
        <xdr:graphicFrame macro="">
          <xdr:nvGraphicFramePr>
            <xdr:cNvPr id="6" name="Department">
              <a:extLst>
                <a:ext uri="{FF2B5EF4-FFF2-40B4-BE49-F238E27FC236}">
                  <a16:creationId xmlns:a16="http://schemas.microsoft.com/office/drawing/2014/main" id="{0501B16A-AD9B-469F-883C-1B57748D1A7C}"/>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429517" y="691841"/>
              <a:ext cx="3310607" cy="6939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147060</xdr:colOff>
      <xdr:row>8</xdr:row>
      <xdr:rowOff>120431</xdr:rowOff>
    </xdr:from>
    <xdr:to>
      <xdr:col>24</xdr:col>
      <xdr:colOff>413644</xdr:colOff>
      <xdr:row>23</xdr:row>
      <xdr:rowOff>98755</xdr:rowOff>
    </xdr:to>
    <xdr:graphicFrame macro="">
      <xdr:nvGraphicFramePr>
        <xdr:cNvPr id="7" name="Chart 6">
          <a:extLst>
            <a:ext uri="{FF2B5EF4-FFF2-40B4-BE49-F238E27FC236}">
              <a16:creationId xmlns:a16="http://schemas.microsoft.com/office/drawing/2014/main" id="{08D2B436-CE88-40BE-AF7D-F1C4F2BC0B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167735</xdr:colOff>
      <xdr:row>25</xdr:row>
      <xdr:rowOff>23963</xdr:rowOff>
    </xdr:from>
    <xdr:to>
      <xdr:col>24</xdr:col>
      <xdr:colOff>462471</xdr:colOff>
      <xdr:row>40</xdr:row>
      <xdr:rowOff>71408</xdr:rowOff>
    </xdr:to>
    <xdr:graphicFrame macro="">
      <xdr:nvGraphicFramePr>
        <xdr:cNvPr id="8" name="Chart 7">
          <a:extLst>
            <a:ext uri="{FF2B5EF4-FFF2-40B4-BE49-F238E27FC236}">
              <a16:creationId xmlns:a16="http://schemas.microsoft.com/office/drawing/2014/main" id="{BC191212-5A72-4937-B602-E364EA6E75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Excel%2011%20Am.xlsx" TargetMode="External"/><Relationship Id="rId1" Type="http://schemas.openxmlformats.org/officeDocument/2006/relationships/externalLinkPath" Target="/Excel%2011%20Am.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Sheet2"/>
      <sheetName val="Sheet3"/>
      <sheetName val="Conditional Formatting"/>
      <sheetName val="Sheet4"/>
      <sheetName val="Sheet5"/>
      <sheetName val="Sheet6"/>
      <sheetName val="Sheet7"/>
      <sheetName val="Sheet8"/>
      <sheetName val="Sheet9"/>
      <sheetName val="Sheet10"/>
      <sheetName val="Sheet11"/>
      <sheetName val="Sheet13"/>
      <sheetName val="Sheet14"/>
      <sheetName val="Data Validation"/>
      <sheetName val="Sheet12"/>
      <sheetName val="Sheet15"/>
      <sheetName val="Sheet17"/>
      <sheetName val="Sheet16"/>
      <sheetName val="Sheet18"/>
      <sheetName val="Sheet20"/>
      <sheetName val="Sheet19"/>
      <sheetName val="Sheet21"/>
      <sheetName val="Sheet23"/>
      <sheetName val="Sheet30"/>
      <sheetName val="Sheet28"/>
      <sheetName val="Dashboard"/>
      <sheetName val="Sheet26"/>
      <sheetName val="Sheet24"/>
      <sheetName val="Pivot"/>
      <sheetName val="Pivot Table"/>
      <sheetName val="Charts"/>
      <sheetName val="Sheet25"/>
      <sheetName val="Macros"/>
      <sheetName val="Sheet22"/>
    </sheetNames>
    <sheetDataSet>
      <sheetData sheetId="0"/>
      <sheetData sheetId="1"/>
      <sheetData sheetId="2"/>
      <sheetData sheetId="3"/>
      <sheetData sheetId="4"/>
      <sheetData sheetId="5"/>
      <sheetData sheetId="6"/>
      <sheetData sheetId="7"/>
      <sheetData sheetId="8"/>
      <sheetData sheetId="9">
        <row r="1">
          <cell r="A1" t="str">
            <v>ID</v>
          </cell>
          <cell r="B1" t="str">
            <v>Name</v>
          </cell>
          <cell r="C1" t="str">
            <v>Age</v>
          </cell>
          <cell r="D1" t="str">
            <v>Email</v>
          </cell>
          <cell r="E1" t="str">
            <v>JoinDate</v>
          </cell>
          <cell r="F1" t="str">
            <v>Salary</v>
          </cell>
          <cell r="G1" t="str">
            <v>Department</v>
          </cell>
          <cell r="H1" t="str">
            <v>IsActive</v>
          </cell>
          <cell r="I1" t="str">
            <v>LastLogin</v>
          </cell>
          <cell r="J1" t="str">
            <v>Score</v>
          </cell>
        </row>
        <row r="2">
          <cell r="A2">
            <v>1</v>
          </cell>
          <cell r="B2" t="str">
            <v>John Doe</v>
          </cell>
          <cell r="C2">
            <v>29</v>
          </cell>
          <cell r="D2" t="str">
            <v>john.doe@example.com</v>
          </cell>
          <cell r="E2">
            <v>44576</v>
          </cell>
          <cell r="F2">
            <v>55000</v>
          </cell>
          <cell r="G2" t="str">
            <v>Marketing</v>
          </cell>
          <cell r="H2" t="b">
            <v>1</v>
          </cell>
          <cell r="I2">
            <v>45536</v>
          </cell>
          <cell r="J2">
            <v>88</v>
          </cell>
        </row>
        <row r="3">
          <cell r="A3">
            <v>2</v>
          </cell>
          <cell r="B3" t="str">
            <v>Jane Smith</v>
          </cell>
          <cell r="C3">
            <v>34</v>
          </cell>
          <cell r="D3" t="str">
            <v>jane.smith@example.com</v>
          </cell>
          <cell r="E3">
            <v>44523</v>
          </cell>
          <cell r="F3">
            <v>62000</v>
          </cell>
          <cell r="G3" t="str">
            <v>Finance</v>
          </cell>
          <cell r="H3" t="b">
            <v>0</v>
          </cell>
          <cell r="I3">
            <v>45538</v>
          </cell>
          <cell r="J3">
            <v>92</v>
          </cell>
        </row>
        <row r="4">
          <cell r="A4">
            <v>3</v>
          </cell>
          <cell r="B4" t="str">
            <v>Bob Johnson</v>
          </cell>
          <cell r="C4">
            <v>45</v>
          </cell>
          <cell r="D4" t="str">
            <v>bob.johnson@example.com</v>
          </cell>
          <cell r="E4">
            <v>43961</v>
          </cell>
          <cell r="F4">
            <v>75000</v>
          </cell>
          <cell r="G4" t="str">
            <v>Engineering</v>
          </cell>
          <cell r="H4" t="b">
            <v>1</v>
          </cell>
          <cell r="I4">
            <v>45537</v>
          </cell>
          <cell r="J4">
            <v>77</v>
          </cell>
        </row>
        <row r="5">
          <cell r="A5">
            <v>4</v>
          </cell>
          <cell r="B5" t="str">
            <v>Alice Williams</v>
          </cell>
          <cell r="C5">
            <v>28</v>
          </cell>
          <cell r="D5" t="str">
            <v>alice.williams@example.com</v>
          </cell>
          <cell r="E5">
            <v>45137</v>
          </cell>
          <cell r="F5">
            <v>47000</v>
          </cell>
          <cell r="G5" t="str">
            <v>HR</v>
          </cell>
          <cell r="H5" t="b">
            <v>1</v>
          </cell>
          <cell r="I5">
            <v>45534</v>
          </cell>
          <cell r="J5">
            <v>85</v>
          </cell>
        </row>
        <row r="6">
          <cell r="A6">
            <v>5</v>
          </cell>
          <cell r="B6" t="str">
            <v>Michael Brown</v>
          </cell>
          <cell r="C6">
            <v>38</v>
          </cell>
          <cell r="D6" t="str">
            <v>michael.brown@example.com</v>
          </cell>
          <cell r="E6">
            <v>43699</v>
          </cell>
          <cell r="F6">
            <v>68000</v>
          </cell>
          <cell r="G6" t="str">
            <v>Finance</v>
          </cell>
          <cell r="H6" t="b">
            <v>1</v>
          </cell>
          <cell r="I6">
            <v>45536</v>
          </cell>
          <cell r="J6">
            <v>90</v>
          </cell>
        </row>
        <row r="7">
          <cell r="A7">
            <v>6</v>
          </cell>
          <cell r="B7" t="str">
            <v>Emily Davis</v>
          </cell>
          <cell r="C7">
            <v>25</v>
          </cell>
          <cell r="D7" t="str">
            <v>emily.davis@example.com</v>
          </cell>
          <cell r="E7">
            <v>44635</v>
          </cell>
          <cell r="F7">
            <v>52000</v>
          </cell>
          <cell r="G7" t="str">
            <v>Marketing</v>
          </cell>
          <cell r="H7" t="b">
            <v>1</v>
          </cell>
          <cell r="I7">
            <v>45529</v>
          </cell>
          <cell r="J7">
            <v>79</v>
          </cell>
        </row>
        <row r="8">
          <cell r="A8">
            <v>7</v>
          </cell>
          <cell r="B8" t="str">
            <v>David Wilson</v>
          </cell>
          <cell r="C8">
            <v>31</v>
          </cell>
          <cell r="D8" t="str">
            <v>david.wilson@example.com</v>
          </cell>
          <cell r="E8">
            <v>44206</v>
          </cell>
          <cell r="F8">
            <v>60000</v>
          </cell>
          <cell r="G8" t="str">
            <v>Engineering</v>
          </cell>
          <cell r="H8" t="b">
            <v>0</v>
          </cell>
          <cell r="I8">
            <v>45532</v>
          </cell>
          <cell r="J8">
            <v>83</v>
          </cell>
        </row>
        <row r="9">
          <cell r="A9">
            <v>8</v>
          </cell>
          <cell r="B9" t="str">
            <v>Sarah Moore</v>
          </cell>
          <cell r="C9">
            <v>29</v>
          </cell>
          <cell r="D9" t="str">
            <v>sarah.moore@example.com</v>
          </cell>
          <cell r="E9">
            <v>44717</v>
          </cell>
          <cell r="F9">
            <v>55000</v>
          </cell>
          <cell r="G9" t="str">
            <v>HR</v>
          </cell>
          <cell r="H9" t="b">
            <v>1</v>
          </cell>
          <cell r="I9">
            <v>45540</v>
          </cell>
          <cell r="J9">
            <v>91</v>
          </cell>
        </row>
        <row r="10">
          <cell r="A10">
            <v>9</v>
          </cell>
          <cell r="B10" t="str">
            <v>James Taylor</v>
          </cell>
          <cell r="C10">
            <v>40</v>
          </cell>
          <cell r="D10" t="str">
            <v>james.taylor@example.com</v>
          </cell>
          <cell r="E10">
            <v>43449</v>
          </cell>
          <cell r="F10">
            <v>70000</v>
          </cell>
          <cell r="G10" t="str">
            <v>Marketing</v>
          </cell>
          <cell r="H10" t="b">
            <v>0</v>
          </cell>
          <cell r="I10">
            <v>45537</v>
          </cell>
          <cell r="J10">
            <v>70</v>
          </cell>
        </row>
        <row r="11">
          <cell r="A11">
            <v>10</v>
          </cell>
          <cell r="B11" t="str">
            <v>Lisa Anderson</v>
          </cell>
          <cell r="C11">
            <v>36</v>
          </cell>
          <cell r="D11" t="str">
            <v>lisa.anderson@example.com</v>
          </cell>
          <cell r="E11">
            <v>44104</v>
          </cell>
          <cell r="F11">
            <v>65000</v>
          </cell>
          <cell r="G11" t="str">
            <v>Finance</v>
          </cell>
          <cell r="H11" t="b">
            <v>1</v>
          </cell>
          <cell r="I11">
            <v>45538</v>
          </cell>
          <cell r="J11">
            <v>86</v>
          </cell>
        </row>
        <row r="12">
          <cell r="A12">
            <v>11</v>
          </cell>
          <cell r="B12" t="str">
            <v>Chris Martinez</v>
          </cell>
          <cell r="C12">
            <v>27</v>
          </cell>
          <cell r="D12" t="str">
            <v>chris.martinez@example.com</v>
          </cell>
          <cell r="E12">
            <v>44946</v>
          </cell>
          <cell r="F12">
            <v>48000</v>
          </cell>
          <cell r="G12" t="str">
            <v>HR</v>
          </cell>
          <cell r="H12" t="b">
            <v>1</v>
          </cell>
          <cell r="I12">
            <v>45536</v>
          </cell>
          <cell r="J12">
            <v>93</v>
          </cell>
        </row>
        <row r="13">
          <cell r="A13">
            <v>12</v>
          </cell>
          <cell r="B13" t="str">
            <v>Karen Thomas</v>
          </cell>
          <cell r="C13">
            <v>33</v>
          </cell>
          <cell r="D13" t="str">
            <v>karen.thomas@example.com</v>
          </cell>
          <cell r="E13">
            <v>44760</v>
          </cell>
          <cell r="F13">
            <v>62000</v>
          </cell>
          <cell r="G13" t="str">
            <v>Engineering</v>
          </cell>
          <cell r="H13" t="b">
            <v>0</v>
          </cell>
          <cell r="I13">
            <v>45531</v>
          </cell>
          <cell r="J13">
            <v>80</v>
          </cell>
        </row>
        <row r="14">
          <cell r="A14">
            <v>13</v>
          </cell>
          <cell r="B14" t="str">
            <v>Steven Jackson</v>
          </cell>
          <cell r="C14">
            <v>40</v>
          </cell>
          <cell r="D14" t="str">
            <v>steven.jackson@example.com</v>
          </cell>
          <cell r="E14">
            <v>43824</v>
          </cell>
          <cell r="F14">
            <v>70000</v>
          </cell>
          <cell r="G14" t="str">
            <v>Finance</v>
          </cell>
          <cell r="H14" t="b">
            <v>1</v>
          </cell>
          <cell r="I14">
            <v>45539</v>
          </cell>
          <cell r="J14">
            <v>87</v>
          </cell>
        </row>
        <row r="15">
          <cell r="A15">
            <v>14</v>
          </cell>
          <cell r="B15" t="str">
            <v>Olivia Lee</v>
          </cell>
          <cell r="C15">
            <v>30</v>
          </cell>
          <cell r="D15" t="str">
            <v>olivia.lee@example.com</v>
          </cell>
          <cell r="E15">
            <v>44484</v>
          </cell>
          <cell r="F15">
            <v>57000</v>
          </cell>
          <cell r="G15" t="str">
            <v>Marketing</v>
          </cell>
          <cell r="H15" t="b">
            <v>1</v>
          </cell>
          <cell r="I15">
            <v>45536</v>
          </cell>
          <cell r="J15">
            <v>78</v>
          </cell>
        </row>
        <row r="16">
          <cell r="A16">
            <v>15</v>
          </cell>
          <cell r="B16" t="str">
            <v>Daniel Harris</v>
          </cell>
          <cell r="C16">
            <v>35</v>
          </cell>
          <cell r="D16" t="str">
            <v>daniel.harris@example.com</v>
          </cell>
          <cell r="E16">
            <v>43913</v>
          </cell>
          <cell r="F16">
            <v>65000</v>
          </cell>
          <cell r="G16" t="str">
            <v>HR</v>
          </cell>
          <cell r="H16" t="b">
            <v>0</v>
          </cell>
          <cell r="I16">
            <v>45534</v>
          </cell>
          <cell r="J16">
            <v>82</v>
          </cell>
        </row>
        <row r="17">
          <cell r="A17">
            <v>16</v>
          </cell>
          <cell r="B17" t="str">
            <v>Megan Clark</v>
          </cell>
          <cell r="C17">
            <v>26</v>
          </cell>
          <cell r="D17" t="str">
            <v>megan.clark@example.com</v>
          </cell>
          <cell r="E17">
            <v>45065</v>
          </cell>
          <cell r="F17">
            <v>49000</v>
          </cell>
          <cell r="G17" t="str">
            <v>Marketing</v>
          </cell>
          <cell r="H17" t="b">
            <v>1</v>
          </cell>
          <cell r="I17">
            <v>45532</v>
          </cell>
          <cell r="J17">
            <v>84</v>
          </cell>
        </row>
        <row r="18">
          <cell r="A18">
            <v>17</v>
          </cell>
          <cell r="B18" t="str">
            <v>Andrew Lewis</v>
          </cell>
          <cell r="C18">
            <v>37</v>
          </cell>
          <cell r="D18" t="str">
            <v>andrew.lewis@example.com</v>
          </cell>
          <cell r="E18">
            <v>43353</v>
          </cell>
          <cell r="F18">
            <v>68000</v>
          </cell>
          <cell r="G18" t="str">
            <v>Engineering</v>
          </cell>
          <cell r="H18" t="b">
            <v>1</v>
          </cell>
          <cell r="I18">
            <v>45537</v>
          </cell>
          <cell r="J18">
            <v>76</v>
          </cell>
        </row>
        <row r="19">
          <cell r="A19">
            <v>18</v>
          </cell>
          <cell r="B19" t="str">
            <v>Laura Robinson</v>
          </cell>
          <cell r="C19">
            <v>32</v>
          </cell>
          <cell r="D19" t="str">
            <v>laura.robinson@example.com</v>
          </cell>
          <cell r="E19">
            <v>44291</v>
          </cell>
          <cell r="F19">
            <v>61000</v>
          </cell>
          <cell r="G19" t="str">
            <v>Finance</v>
          </cell>
          <cell r="H19" t="b">
            <v>0</v>
          </cell>
          <cell r="I19">
            <v>45538</v>
          </cell>
          <cell r="J19">
            <v>89</v>
          </cell>
        </row>
        <row r="20">
          <cell r="A20">
            <v>19</v>
          </cell>
          <cell r="B20" t="str">
            <v>Paul Walker</v>
          </cell>
          <cell r="C20">
            <v>29</v>
          </cell>
          <cell r="D20" t="str">
            <v>paul.walker@example.com</v>
          </cell>
          <cell r="E20">
            <v>44968</v>
          </cell>
          <cell r="F20">
            <v>53000</v>
          </cell>
          <cell r="G20" t="str">
            <v>HR</v>
          </cell>
          <cell r="H20" t="b">
            <v>1</v>
          </cell>
          <cell r="I20">
            <v>45540</v>
          </cell>
          <cell r="J20">
            <v>92</v>
          </cell>
        </row>
        <row r="21">
          <cell r="A21">
            <v>20</v>
          </cell>
          <cell r="B21" t="str">
            <v>Nicole Young</v>
          </cell>
          <cell r="C21">
            <v>31</v>
          </cell>
          <cell r="D21" t="str">
            <v>nicole.young@example.com</v>
          </cell>
          <cell r="E21">
            <v>44834</v>
          </cell>
          <cell r="F21">
            <v>59000</v>
          </cell>
          <cell r="G21" t="str">
            <v>Marketing</v>
          </cell>
          <cell r="H21" t="b">
            <v>0</v>
          </cell>
          <cell r="I21">
            <v>45533</v>
          </cell>
          <cell r="J21">
            <v>81</v>
          </cell>
        </row>
        <row r="22">
          <cell r="A22">
            <v>21</v>
          </cell>
          <cell r="B22" t="str">
            <v>Mark Scott</v>
          </cell>
          <cell r="C22">
            <v>28</v>
          </cell>
          <cell r="D22" t="str">
            <v>mark.scott@example.com</v>
          </cell>
          <cell r="E22">
            <v>44359</v>
          </cell>
          <cell r="F22">
            <v>55000</v>
          </cell>
          <cell r="G22" t="str">
            <v>Engineering</v>
          </cell>
          <cell r="H22" t="b">
            <v>1</v>
          </cell>
          <cell r="I22">
            <v>45536</v>
          </cell>
          <cell r="J22">
            <v>80</v>
          </cell>
        </row>
        <row r="23">
          <cell r="A23">
            <v>22</v>
          </cell>
          <cell r="B23" t="str">
            <v>Jessica Hall</v>
          </cell>
          <cell r="C23">
            <v>26</v>
          </cell>
          <cell r="D23" t="str">
            <v>jessica.hall@example.com</v>
          </cell>
          <cell r="E23">
            <v>44704</v>
          </cell>
          <cell r="F23">
            <v>51000</v>
          </cell>
          <cell r="G23" t="str">
            <v>HR</v>
          </cell>
          <cell r="H23" t="b">
            <v>1</v>
          </cell>
          <cell r="I23">
            <v>45539</v>
          </cell>
          <cell r="J23">
            <v>88</v>
          </cell>
        </row>
        <row r="24">
          <cell r="A24">
            <v>23</v>
          </cell>
          <cell r="B24" t="str">
            <v>Kevin Allen</v>
          </cell>
          <cell r="C24">
            <v>35</v>
          </cell>
          <cell r="D24" t="str">
            <v>kevin.allen@example.com</v>
          </cell>
          <cell r="E24">
            <v>43787</v>
          </cell>
          <cell r="F24">
            <v>67000</v>
          </cell>
          <cell r="G24" t="str">
            <v>Finance</v>
          </cell>
          <cell r="H24" t="b">
            <v>1</v>
          </cell>
          <cell r="I24">
            <v>45537</v>
          </cell>
          <cell r="J24">
            <v>85</v>
          </cell>
        </row>
        <row r="25">
          <cell r="A25">
            <v>24</v>
          </cell>
          <cell r="B25" t="str">
            <v>Susan King</v>
          </cell>
          <cell r="C25">
            <v>41</v>
          </cell>
          <cell r="D25" t="str">
            <v>susan.king@example.com</v>
          </cell>
          <cell r="E25">
            <v>43881</v>
          </cell>
          <cell r="F25">
            <v>69000</v>
          </cell>
          <cell r="G25" t="str">
            <v>Marketing</v>
          </cell>
          <cell r="H25" t="b">
            <v>0</v>
          </cell>
          <cell r="I25">
            <v>45535</v>
          </cell>
          <cell r="J25">
            <v>77</v>
          </cell>
        </row>
        <row r="26">
          <cell r="A26">
            <v>25</v>
          </cell>
          <cell r="B26" t="str">
            <v>Jason Wright</v>
          </cell>
          <cell r="C26">
            <v>29</v>
          </cell>
          <cell r="D26" t="str">
            <v>jason.wright@example.com</v>
          </cell>
          <cell r="E26">
            <v>44997</v>
          </cell>
          <cell r="F26">
            <v>54000</v>
          </cell>
          <cell r="G26" t="str">
            <v>HR</v>
          </cell>
          <cell r="H26" t="b">
            <v>1</v>
          </cell>
          <cell r="I26">
            <v>45538</v>
          </cell>
          <cell r="J26">
            <v>82</v>
          </cell>
        </row>
        <row r="27">
          <cell r="A27">
            <v>26</v>
          </cell>
          <cell r="B27" t="str">
            <v>Emily Hill</v>
          </cell>
          <cell r="C27">
            <v>34</v>
          </cell>
          <cell r="D27" t="str">
            <v>emily.hill@example.com</v>
          </cell>
          <cell r="E27">
            <v>44435</v>
          </cell>
          <cell r="F27">
            <v>61000</v>
          </cell>
          <cell r="G27" t="str">
            <v>Engineering</v>
          </cell>
          <cell r="H27" t="b">
            <v>0</v>
          </cell>
          <cell r="I27">
            <v>45536</v>
          </cell>
          <cell r="J27">
            <v>79</v>
          </cell>
        </row>
        <row r="28">
          <cell r="A28">
            <v>27</v>
          </cell>
          <cell r="B28" t="str">
            <v>Tyler Adams</v>
          </cell>
          <cell r="C28">
            <v>28</v>
          </cell>
          <cell r="D28" t="str">
            <v>tyler.adams@example.com</v>
          </cell>
          <cell r="E28">
            <v>44665</v>
          </cell>
          <cell r="F28">
            <v>50000</v>
          </cell>
          <cell r="G28" t="str">
            <v>Finance</v>
          </cell>
          <cell r="H28" t="b">
            <v>1</v>
          </cell>
          <cell r="I28">
            <v>45534</v>
          </cell>
          <cell r="J28">
            <v>84</v>
          </cell>
        </row>
        <row r="29">
          <cell r="A29">
            <v>28</v>
          </cell>
          <cell r="B29" t="str">
            <v>Grace Nelson</v>
          </cell>
          <cell r="C29">
            <v>37</v>
          </cell>
          <cell r="D29" t="str">
            <v>grace.nelson@example.com</v>
          </cell>
          <cell r="E29">
            <v>43739</v>
          </cell>
          <cell r="F29">
            <v>68000</v>
          </cell>
          <cell r="G29" t="str">
            <v>Marketing</v>
          </cell>
          <cell r="H29" t="b">
            <v>1</v>
          </cell>
          <cell r="I29">
            <v>45540</v>
          </cell>
          <cell r="J29">
            <v>86</v>
          </cell>
        </row>
        <row r="30">
          <cell r="A30">
            <v>29</v>
          </cell>
          <cell r="B30" t="str">
            <v>Brandon Carter</v>
          </cell>
          <cell r="C30">
            <v>32</v>
          </cell>
          <cell r="D30" t="str">
            <v>brandon.carter@example.com</v>
          </cell>
          <cell r="E30">
            <v>43997</v>
          </cell>
          <cell r="F30">
            <v>63000</v>
          </cell>
          <cell r="G30" t="str">
            <v>HR</v>
          </cell>
          <cell r="H30" t="b">
            <v>1</v>
          </cell>
          <cell r="I30">
            <v>45537</v>
          </cell>
          <cell r="J30">
            <v>90</v>
          </cell>
        </row>
        <row r="31">
          <cell r="A31">
            <v>30</v>
          </cell>
          <cell r="B31" t="str">
            <v>Rebecca Mitchell</v>
          </cell>
          <cell r="C31">
            <v>29</v>
          </cell>
          <cell r="D31" t="str">
            <v>rebecca.mitchell@example.com</v>
          </cell>
          <cell r="E31">
            <v>45058</v>
          </cell>
          <cell r="F31">
            <v>56000</v>
          </cell>
          <cell r="G31" t="str">
            <v>Engineering</v>
          </cell>
          <cell r="H31" t="b">
            <v>1</v>
          </cell>
          <cell r="I31">
            <v>45533</v>
          </cell>
          <cell r="J31">
            <v>78</v>
          </cell>
        </row>
        <row r="32">
          <cell r="A32">
            <v>31</v>
          </cell>
          <cell r="B32" t="str">
            <v>Samuel Perez</v>
          </cell>
          <cell r="C32">
            <v>38</v>
          </cell>
          <cell r="D32" t="str">
            <v>samuel.perez@example.com</v>
          </cell>
          <cell r="E32">
            <v>43653</v>
          </cell>
          <cell r="F32">
            <v>72000</v>
          </cell>
          <cell r="G32" t="str">
            <v>Finance</v>
          </cell>
          <cell r="H32" t="b">
            <v>1</v>
          </cell>
          <cell r="I32">
            <v>45536</v>
          </cell>
          <cell r="J32">
            <v>87</v>
          </cell>
        </row>
        <row r="33">
          <cell r="A33">
            <v>32</v>
          </cell>
          <cell r="B33" t="str">
            <v>Victoria Roberts</v>
          </cell>
          <cell r="C33">
            <v>31</v>
          </cell>
          <cell r="D33" t="str">
            <v>victoria.roberts@example.com</v>
          </cell>
          <cell r="E33">
            <v>44252</v>
          </cell>
          <cell r="F33">
            <v>58000</v>
          </cell>
          <cell r="G33" t="str">
            <v>Marketing</v>
          </cell>
          <cell r="H33" t="b">
            <v>0</v>
          </cell>
          <cell r="I33">
            <v>45532</v>
          </cell>
          <cell r="J33">
            <v>82</v>
          </cell>
        </row>
        <row r="34">
          <cell r="A34">
            <v>33</v>
          </cell>
          <cell r="B34" t="str">
            <v>Anthony Morris</v>
          </cell>
          <cell r="C34">
            <v>27</v>
          </cell>
          <cell r="D34" t="str">
            <v>anthony.morris@example.com</v>
          </cell>
          <cell r="E34">
            <v>45139</v>
          </cell>
          <cell r="F34">
            <v>52000</v>
          </cell>
          <cell r="G34" t="str">
            <v>HR</v>
          </cell>
          <cell r="H34" t="b">
            <v>1</v>
          </cell>
          <cell r="I34">
            <v>45539</v>
          </cell>
          <cell r="J34">
            <v>83</v>
          </cell>
        </row>
        <row r="35">
          <cell r="A35">
            <v>34</v>
          </cell>
          <cell r="B35" t="str">
            <v>Melissa Collins</v>
          </cell>
          <cell r="C35">
            <v>35</v>
          </cell>
          <cell r="D35" t="str">
            <v>melissa.collins@example.com</v>
          </cell>
          <cell r="E35">
            <v>44183</v>
          </cell>
          <cell r="F35">
            <v>67000</v>
          </cell>
          <cell r="G35" t="str">
            <v>Engineering</v>
          </cell>
          <cell r="H35" t="b">
            <v>1</v>
          </cell>
          <cell r="I35">
            <v>45538</v>
          </cell>
          <cell r="J35">
            <v>88</v>
          </cell>
        </row>
        <row r="36">
          <cell r="A36">
            <v>35</v>
          </cell>
          <cell r="B36" t="str">
            <v>George Baker</v>
          </cell>
          <cell r="C36">
            <v>40</v>
          </cell>
          <cell r="D36" t="str">
            <v>george.baker@example.com</v>
          </cell>
          <cell r="E36">
            <v>43728</v>
          </cell>
          <cell r="F36">
            <v>70000</v>
          </cell>
          <cell r="G36" t="str">
            <v>Finance</v>
          </cell>
          <cell r="H36" t="b">
            <v>0</v>
          </cell>
          <cell r="I36">
            <v>45536</v>
          </cell>
          <cell r="J36">
            <v>85</v>
          </cell>
        </row>
        <row r="37">
          <cell r="A37">
            <v>36</v>
          </cell>
          <cell r="B37" t="str">
            <v>Amanda Allen</v>
          </cell>
          <cell r="C37">
            <v>26</v>
          </cell>
          <cell r="D37" t="str">
            <v>amanda.allen@example.com</v>
          </cell>
          <cell r="E37">
            <v>44839</v>
          </cell>
          <cell r="F37">
            <v>49000</v>
          </cell>
          <cell r="G37" t="str">
            <v>Marketing</v>
          </cell>
          <cell r="H37" t="b">
            <v>1</v>
          </cell>
          <cell r="I37">
            <v>45534</v>
          </cell>
          <cell r="J37">
            <v>79</v>
          </cell>
        </row>
        <row r="38">
          <cell r="A38">
            <v>37</v>
          </cell>
          <cell r="B38" t="str">
            <v>Robert Johnson</v>
          </cell>
          <cell r="C38">
            <v>33</v>
          </cell>
          <cell r="D38" t="str">
            <v>robert.johnson@example.com</v>
          </cell>
          <cell r="E38">
            <v>44270</v>
          </cell>
          <cell r="F38">
            <v>62000</v>
          </cell>
          <cell r="G38" t="str">
            <v>HR</v>
          </cell>
          <cell r="H38" t="b">
            <v>0</v>
          </cell>
          <cell r="I38">
            <v>45537</v>
          </cell>
          <cell r="J38">
            <v>82</v>
          </cell>
        </row>
        <row r="39">
          <cell r="A39">
            <v>38</v>
          </cell>
          <cell r="B39" t="str">
            <v>Nancy Turner</v>
          </cell>
          <cell r="C39">
            <v>29</v>
          </cell>
          <cell r="D39" t="str">
            <v>nancy.turner@example.com</v>
          </cell>
          <cell r="E39">
            <v>44931</v>
          </cell>
          <cell r="F39">
            <v>53000</v>
          </cell>
          <cell r="G39" t="str">
            <v>Engineering</v>
          </cell>
          <cell r="H39" t="b">
            <v>1</v>
          </cell>
          <cell r="I39">
            <v>45536</v>
          </cell>
          <cell r="J39">
            <v>90</v>
          </cell>
        </row>
        <row r="40">
          <cell r="A40">
            <v>39</v>
          </cell>
          <cell r="B40" t="str">
            <v>Steven Adams</v>
          </cell>
          <cell r="C40">
            <v>31</v>
          </cell>
          <cell r="D40" t="str">
            <v>steven.adams@example.com</v>
          </cell>
          <cell r="E40">
            <v>44722</v>
          </cell>
          <cell r="F40">
            <v>60000</v>
          </cell>
          <cell r="G40" t="str">
            <v>Finance</v>
          </cell>
          <cell r="H40" t="b">
            <v>1</v>
          </cell>
          <cell r="I40">
            <v>45531</v>
          </cell>
          <cell r="J40">
            <v>87</v>
          </cell>
        </row>
        <row r="41">
          <cell r="A41">
            <v>40</v>
          </cell>
          <cell r="B41" t="str">
            <v>Kelly Brown</v>
          </cell>
          <cell r="C41">
            <v>30</v>
          </cell>
          <cell r="D41" t="str">
            <v>kelly.brown@example.com</v>
          </cell>
          <cell r="E41">
            <v>44336</v>
          </cell>
          <cell r="F41">
            <v>57000</v>
          </cell>
          <cell r="G41" t="str">
            <v>Marketing</v>
          </cell>
          <cell r="H41" t="b">
            <v>0</v>
          </cell>
          <cell r="I41">
            <v>45536</v>
          </cell>
          <cell r="J41">
            <v>84</v>
          </cell>
        </row>
        <row r="42">
          <cell r="A42">
            <v>41</v>
          </cell>
          <cell r="B42" t="str">
            <v>Jennifer Murphy</v>
          </cell>
          <cell r="C42">
            <v>27</v>
          </cell>
          <cell r="D42" t="str">
            <v>jennifer.murphy@example.com</v>
          </cell>
          <cell r="E42">
            <v>45015</v>
          </cell>
          <cell r="F42">
            <v>50000</v>
          </cell>
          <cell r="G42" t="str">
            <v>HR</v>
          </cell>
          <cell r="H42" t="b">
            <v>1</v>
          </cell>
          <cell r="I42">
            <v>45539</v>
          </cell>
          <cell r="J42">
            <v>92</v>
          </cell>
        </row>
        <row r="43">
          <cell r="A43">
            <v>42</v>
          </cell>
          <cell r="B43" t="str">
            <v>Patrick Thomas</v>
          </cell>
          <cell r="C43">
            <v>34</v>
          </cell>
          <cell r="D43" t="str">
            <v>patrick.thomas@example.com</v>
          </cell>
          <cell r="E43">
            <v>44027</v>
          </cell>
          <cell r="F43">
            <v>62000</v>
          </cell>
          <cell r="G43" t="str">
            <v>Engineering</v>
          </cell>
          <cell r="H43" t="b">
            <v>0</v>
          </cell>
          <cell r="I43">
            <v>45534</v>
          </cell>
          <cell r="J43">
            <v>78</v>
          </cell>
        </row>
        <row r="44">
          <cell r="A44">
            <v>43</v>
          </cell>
          <cell r="B44" t="str">
            <v>Laura Phillips</v>
          </cell>
          <cell r="C44">
            <v>29</v>
          </cell>
          <cell r="D44" t="str">
            <v>laura.phillips@example.com</v>
          </cell>
          <cell r="E44">
            <v>44566</v>
          </cell>
          <cell r="F44">
            <v>55000</v>
          </cell>
          <cell r="G44" t="str">
            <v>Finance</v>
          </cell>
          <cell r="H44" t="b">
            <v>1</v>
          </cell>
          <cell r="I44">
            <v>45538</v>
          </cell>
          <cell r="J44">
            <v>91</v>
          </cell>
        </row>
        <row r="45">
          <cell r="A45">
            <v>44</v>
          </cell>
          <cell r="B45" t="str">
            <v>Richard Evans</v>
          </cell>
          <cell r="C45">
            <v>32</v>
          </cell>
          <cell r="D45" t="str">
            <v>richard.evans@example.com</v>
          </cell>
          <cell r="E45">
            <v>44444</v>
          </cell>
          <cell r="F45">
            <v>59000</v>
          </cell>
          <cell r="G45" t="str">
            <v>HR</v>
          </cell>
          <cell r="H45" t="b">
            <v>1</v>
          </cell>
          <cell r="I45">
            <v>45540</v>
          </cell>
          <cell r="J45">
            <v>83</v>
          </cell>
        </row>
        <row r="46">
          <cell r="A46">
            <v>45</v>
          </cell>
          <cell r="B46" t="str">
            <v>Katherine White</v>
          </cell>
          <cell r="C46">
            <v>30</v>
          </cell>
          <cell r="D46" t="str">
            <v>katherine.white@example.com</v>
          </cell>
          <cell r="E46">
            <v>44969</v>
          </cell>
          <cell r="F46">
            <v>54000</v>
          </cell>
          <cell r="G46" t="str">
            <v>Marketing</v>
          </cell>
          <cell r="H46" t="b">
            <v>1</v>
          </cell>
          <cell r="I46">
            <v>45535</v>
          </cell>
          <cell r="J46">
            <v>87</v>
          </cell>
        </row>
        <row r="47">
          <cell r="A47">
            <v>46</v>
          </cell>
          <cell r="B47" t="str">
            <v>Steven Collins</v>
          </cell>
          <cell r="C47">
            <v>36</v>
          </cell>
          <cell r="D47" t="str">
            <v>steven.collins@example.com</v>
          </cell>
          <cell r="E47">
            <v>44145</v>
          </cell>
          <cell r="F47">
            <v>68000</v>
          </cell>
          <cell r="G47" t="str">
            <v>Engineering</v>
          </cell>
          <cell r="H47" t="b">
            <v>1</v>
          </cell>
          <cell r="I47">
            <v>45537</v>
          </cell>
          <cell r="J47">
            <v>80</v>
          </cell>
        </row>
        <row r="48">
          <cell r="A48">
            <v>47</v>
          </cell>
          <cell r="B48" t="str">
            <v>Angela Mitchell</v>
          </cell>
          <cell r="C48">
            <v>29</v>
          </cell>
          <cell r="D48" t="str">
            <v>angela.mitchell@example.com</v>
          </cell>
          <cell r="E48">
            <v>44470</v>
          </cell>
          <cell r="F48">
            <v>56000</v>
          </cell>
          <cell r="G48" t="str">
            <v>Finance</v>
          </cell>
          <cell r="H48" t="b">
            <v>1</v>
          </cell>
          <cell r="I48">
            <v>45533</v>
          </cell>
          <cell r="J48">
            <v>89</v>
          </cell>
        </row>
        <row r="49">
          <cell r="A49">
            <v>48</v>
          </cell>
          <cell r="B49" t="str">
            <v>David Robinson</v>
          </cell>
          <cell r="C49">
            <v>28</v>
          </cell>
          <cell r="D49" t="str">
            <v>david.robinson@example.com</v>
          </cell>
          <cell r="E49">
            <v>44798</v>
          </cell>
          <cell r="F49">
            <v>55000</v>
          </cell>
          <cell r="G49" t="str">
            <v>HR</v>
          </cell>
          <cell r="H49" t="b">
            <v>0</v>
          </cell>
          <cell r="I49">
            <v>45536</v>
          </cell>
          <cell r="J49">
            <v>81</v>
          </cell>
        </row>
        <row r="50">
          <cell r="A50">
            <v>49</v>
          </cell>
          <cell r="B50" t="str">
            <v>Maria Lewis</v>
          </cell>
          <cell r="C50">
            <v>33</v>
          </cell>
          <cell r="D50" t="str">
            <v>maria.lewis@example.com</v>
          </cell>
          <cell r="E50">
            <v>43600</v>
          </cell>
          <cell r="F50">
            <v>60000</v>
          </cell>
          <cell r="G50" t="str">
            <v>Marketing</v>
          </cell>
          <cell r="H50" t="b">
            <v>1</v>
          </cell>
          <cell r="I50">
            <v>45538</v>
          </cell>
          <cell r="J50">
            <v>90</v>
          </cell>
        </row>
        <row r="51">
          <cell r="A51">
            <v>50</v>
          </cell>
          <cell r="B51" t="str">
            <v>James Scott</v>
          </cell>
          <cell r="C51">
            <v>39</v>
          </cell>
          <cell r="D51" t="str">
            <v>james.scott@example.com</v>
          </cell>
          <cell r="E51">
            <v>43886</v>
          </cell>
          <cell r="F51">
            <v>67000</v>
          </cell>
          <cell r="G51" t="str">
            <v>Finance</v>
          </cell>
          <cell r="H51" t="b">
            <v>0</v>
          </cell>
          <cell r="I51">
            <v>45537</v>
          </cell>
          <cell r="J51">
            <v>85</v>
          </cell>
        </row>
      </sheetData>
      <sheetData sheetId="10">
        <row r="1">
          <cell r="A1" t="str">
            <v>ID</v>
          </cell>
          <cell r="B1" t="str">
            <v>Name</v>
          </cell>
          <cell r="C1" t="str">
            <v>Age</v>
          </cell>
          <cell r="D1" t="str">
            <v>Email</v>
          </cell>
          <cell r="E1" t="str">
            <v>JoinDate</v>
          </cell>
          <cell r="F1" t="str">
            <v>Salary</v>
          </cell>
          <cell r="G1" t="str">
            <v>Department</v>
          </cell>
          <cell r="H1" t="str">
            <v>IsActive</v>
          </cell>
          <cell r="I1" t="str">
            <v>LastLogin</v>
          </cell>
          <cell r="J1" t="str">
            <v>Score</v>
          </cell>
        </row>
        <row r="2">
          <cell r="A2">
            <v>1</v>
          </cell>
          <cell r="B2" t="str">
            <v>John Doe</v>
          </cell>
          <cell r="C2">
            <v>29</v>
          </cell>
          <cell r="D2" t="str">
            <v>john.doe@example.com</v>
          </cell>
          <cell r="E2">
            <v>44576</v>
          </cell>
          <cell r="F2">
            <v>55000</v>
          </cell>
          <cell r="G2" t="str">
            <v>Marketing</v>
          </cell>
          <cell r="H2" t="b">
            <v>1</v>
          </cell>
          <cell r="I2">
            <v>45536</v>
          </cell>
          <cell r="J2">
            <v>88</v>
          </cell>
        </row>
        <row r="3">
          <cell r="A3">
            <v>2</v>
          </cell>
          <cell r="B3" t="str">
            <v>Jane Smith</v>
          </cell>
          <cell r="C3">
            <v>34</v>
          </cell>
          <cell r="D3" t="str">
            <v>jane.smith@example.com</v>
          </cell>
          <cell r="E3">
            <v>44523</v>
          </cell>
          <cell r="F3">
            <v>62000</v>
          </cell>
          <cell r="G3" t="str">
            <v>Finance</v>
          </cell>
          <cell r="H3" t="b">
            <v>0</v>
          </cell>
          <cell r="I3">
            <v>45538</v>
          </cell>
          <cell r="J3">
            <v>92</v>
          </cell>
        </row>
        <row r="4">
          <cell r="A4">
            <v>3</v>
          </cell>
          <cell r="B4" t="str">
            <v>Bob Johnson</v>
          </cell>
          <cell r="C4">
            <v>45</v>
          </cell>
          <cell r="D4" t="str">
            <v>bob.johnson@example.com</v>
          </cell>
          <cell r="E4">
            <v>43961</v>
          </cell>
          <cell r="F4">
            <v>75000</v>
          </cell>
          <cell r="G4" t="str">
            <v>Engineering</v>
          </cell>
          <cell r="H4" t="b">
            <v>1</v>
          </cell>
          <cell r="I4">
            <v>45537</v>
          </cell>
          <cell r="J4">
            <v>77</v>
          </cell>
        </row>
        <row r="5">
          <cell r="A5">
            <v>4</v>
          </cell>
          <cell r="B5" t="str">
            <v>Alice Williams</v>
          </cell>
          <cell r="C5">
            <v>28</v>
          </cell>
          <cell r="D5" t="str">
            <v>alice.williams@example.com</v>
          </cell>
          <cell r="E5">
            <v>45137</v>
          </cell>
          <cell r="F5">
            <v>47000</v>
          </cell>
          <cell r="G5" t="str">
            <v>HR</v>
          </cell>
          <cell r="H5" t="b">
            <v>1</v>
          </cell>
          <cell r="I5">
            <v>45534</v>
          </cell>
          <cell r="J5">
            <v>85</v>
          </cell>
        </row>
        <row r="6">
          <cell r="A6">
            <v>5</v>
          </cell>
          <cell r="B6" t="str">
            <v>Michael Brown</v>
          </cell>
          <cell r="C6">
            <v>38</v>
          </cell>
          <cell r="D6" t="str">
            <v>michael.brown@example.com</v>
          </cell>
          <cell r="E6">
            <v>43699</v>
          </cell>
          <cell r="F6">
            <v>68000</v>
          </cell>
          <cell r="G6" t="str">
            <v>Finance</v>
          </cell>
          <cell r="H6" t="b">
            <v>1</v>
          </cell>
          <cell r="I6">
            <v>45536</v>
          </cell>
          <cell r="J6">
            <v>90</v>
          </cell>
        </row>
        <row r="7">
          <cell r="A7">
            <v>6</v>
          </cell>
          <cell r="B7" t="str">
            <v>Emily Davis</v>
          </cell>
          <cell r="C7">
            <v>25</v>
          </cell>
          <cell r="D7" t="str">
            <v>emily.davis@example.com</v>
          </cell>
          <cell r="E7">
            <v>44635</v>
          </cell>
          <cell r="F7">
            <v>52000</v>
          </cell>
          <cell r="G7" t="str">
            <v>Marketing</v>
          </cell>
          <cell r="H7" t="b">
            <v>1</v>
          </cell>
          <cell r="I7">
            <v>45529</v>
          </cell>
          <cell r="J7">
            <v>79</v>
          </cell>
        </row>
        <row r="8">
          <cell r="A8">
            <v>7</v>
          </cell>
          <cell r="B8" t="str">
            <v>David Wilson</v>
          </cell>
          <cell r="C8">
            <v>31</v>
          </cell>
          <cell r="D8" t="str">
            <v>david.wilson@example.com</v>
          </cell>
          <cell r="E8">
            <v>44206</v>
          </cell>
          <cell r="F8">
            <v>60000</v>
          </cell>
          <cell r="G8" t="str">
            <v>Engineering</v>
          </cell>
          <cell r="H8" t="b">
            <v>0</v>
          </cell>
          <cell r="I8">
            <v>45532</v>
          </cell>
          <cell r="J8">
            <v>83</v>
          </cell>
        </row>
        <row r="9">
          <cell r="A9">
            <v>8</v>
          </cell>
          <cell r="B9" t="str">
            <v>Sarah Moore</v>
          </cell>
          <cell r="C9">
            <v>29</v>
          </cell>
          <cell r="D9" t="str">
            <v>sarah.moore@example.com</v>
          </cell>
          <cell r="E9">
            <v>44717</v>
          </cell>
          <cell r="F9">
            <v>55000</v>
          </cell>
          <cell r="G9" t="str">
            <v>HR</v>
          </cell>
          <cell r="H9" t="b">
            <v>1</v>
          </cell>
          <cell r="I9">
            <v>45540</v>
          </cell>
          <cell r="J9">
            <v>91</v>
          </cell>
        </row>
        <row r="10">
          <cell r="A10">
            <v>9</v>
          </cell>
          <cell r="B10" t="str">
            <v>James Taylor</v>
          </cell>
          <cell r="C10">
            <v>40</v>
          </cell>
          <cell r="D10" t="str">
            <v>james.taylor@example.com</v>
          </cell>
          <cell r="E10">
            <v>43449</v>
          </cell>
          <cell r="F10">
            <v>70000</v>
          </cell>
          <cell r="G10" t="str">
            <v>Marketing</v>
          </cell>
          <cell r="H10" t="b">
            <v>0</v>
          </cell>
          <cell r="I10">
            <v>45537</v>
          </cell>
          <cell r="J10">
            <v>70</v>
          </cell>
        </row>
        <row r="11">
          <cell r="A11">
            <v>10</v>
          </cell>
          <cell r="B11" t="str">
            <v>Lisa Anderson</v>
          </cell>
          <cell r="C11">
            <v>36</v>
          </cell>
          <cell r="D11" t="str">
            <v>lisa.anderson@example.com</v>
          </cell>
          <cell r="E11">
            <v>44104</v>
          </cell>
          <cell r="F11">
            <v>65000</v>
          </cell>
          <cell r="G11" t="str">
            <v>Finance</v>
          </cell>
          <cell r="H11" t="b">
            <v>1</v>
          </cell>
          <cell r="I11">
            <v>45538</v>
          </cell>
          <cell r="J11">
            <v>86</v>
          </cell>
        </row>
        <row r="12">
          <cell r="A12">
            <v>11</v>
          </cell>
          <cell r="B12" t="str">
            <v>Chris Martinez</v>
          </cell>
          <cell r="C12">
            <v>27</v>
          </cell>
          <cell r="D12" t="str">
            <v>chris.martinez@example.com</v>
          </cell>
          <cell r="E12">
            <v>44946</v>
          </cell>
          <cell r="F12">
            <v>48000</v>
          </cell>
          <cell r="G12" t="str">
            <v>HR</v>
          </cell>
          <cell r="H12" t="b">
            <v>1</v>
          </cell>
          <cell r="I12">
            <v>45536</v>
          </cell>
          <cell r="J12">
            <v>93</v>
          </cell>
        </row>
        <row r="13">
          <cell r="A13">
            <v>12</v>
          </cell>
          <cell r="B13" t="str">
            <v>Karen Thomas</v>
          </cell>
          <cell r="C13">
            <v>33</v>
          </cell>
          <cell r="D13" t="str">
            <v>karen.thomas@example.com</v>
          </cell>
          <cell r="E13">
            <v>44760</v>
          </cell>
          <cell r="F13">
            <v>62000</v>
          </cell>
          <cell r="G13" t="str">
            <v>Engineering</v>
          </cell>
          <cell r="H13" t="b">
            <v>0</v>
          </cell>
          <cell r="I13">
            <v>45531</v>
          </cell>
          <cell r="J13">
            <v>80</v>
          </cell>
        </row>
        <row r="14">
          <cell r="A14">
            <v>13</v>
          </cell>
          <cell r="B14" t="str">
            <v>Steven Jackson</v>
          </cell>
          <cell r="C14">
            <v>40</v>
          </cell>
          <cell r="D14" t="str">
            <v>steven.jackson@example.com</v>
          </cell>
          <cell r="E14">
            <v>43824</v>
          </cell>
          <cell r="F14">
            <v>70000</v>
          </cell>
          <cell r="G14" t="str">
            <v>Finance</v>
          </cell>
          <cell r="H14" t="b">
            <v>1</v>
          </cell>
          <cell r="I14">
            <v>45539</v>
          </cell>
          <cell r="J14">
            <v>87</v>
          </cell>
        </row>
        <row r="15">
          <cell r="A15">
            <v>14</v>
          </cell>
          <cell r="B15" t="str">
            <v>Olivia Lee</v>
          </cell>
          <cell r="C15">
            <v>30</v>
          </cell>
          <cell r="D15" t="str">
            <v>olivia.lee@example.com</v>
          </cell>
          <cell r="E15">
            <v>44484</v>
          </cell>
          <cell r="F15">
            <v>57000</v>
          </cell>
          <cell r="G15" t="str">
            <v>Marketing</v>
          </cell>
          <cell r="H15" t="b">
            <v>1</v>
          </cell>
          <cell r="I15">
            <v>45536</v>
          </cell>
          <cell r="J15">
            <v>78</v>
          </cell>
        </row>
        <row r="16">
          <cell r="A16">
            <v>15</v>
          </cell>
          <cell r="B16" t="str">
            <v>Daniel Harris</v>
          </cell>
          <cell r="C16">
            <v>35</v>
          </cell>
          <cell r="D16" t="str">
            <v>daniel.harris@example.com</v>
          </cell>
          <cell r="E16">
            <v>43913</v>
          </cell>
          <cell r="F16">
            <v>65000</v>
          </cell>
          <cell r="G16" t="str">
            <v>HR</v>
          </cell>
          <cell r="H16" t="b">
            <v>0</v>
          </cell>
          <cell r="I16">
            <v>45534</v>
          </cell>
          <cell r="J16">
            <v>82</v>
          </cell>
        </row>
        <row r="17">
          <cell r="A17">
            <v>16</v>
          </cell>
          <cell r="B17" t="str">
            <v>Megan Clark</v>
          </cell>
          <cell r="C17">
            <v>26</v>
          </cell>
          <cell r="D17" t="str">
            <v>megan.clark@example.com</v>
          </cell>
          <cell r="E17">
            <v>45065</v>
          </cell>
          <cell r="F17">
            <v>49000</v>
          </cell>
          <cell r="G17" t="str">
            <v>Marketing</v>
          </cell>
          <cell r="H17" t="b">
            <v>1</v>
          </cell>
          <cell r="I17">
            <v>45532</v>
          </cell>
          <cell r="J17">
            <v>84</v>
          </cell>
        </row>
        <row r="18">
          <cell r="A18">
            <v>17</v>
          </cell>
          <cell r="B18" t="str">
            <v>Andrew Lewis</v>
          </cell>
          <cell r="C18">
            <v>37</v>
          </cell>
          <cell r="D18" t="str">
            <v>andrew.lewis@example.com</v>
          </cell>
          <cell r="E18">
            <v>43353</v>
          </cell>
          <cell r="F18">
            <v>68000</v>
          </cell>
          <cell r="G18" t="str">
            <v>Engineering</v>
          </cell>
          <cell r="H18" t="b">
            <v>1</v>
          </cell>
          <cell r="I18">
            <v>45537</v>
          </cell>
          <cell r="J18">
            <v>76</v>
          </cell>
        </row>
        <row r="19">
          <cell r="A19">
            <v>18</v>
          </cell>
          <cell r="B19" t="str">
            <v>Laura Robinson</v>
          </cell>
          <cell r="C19">
            <v>32</v>
          </cell>
          <cell r="D19" t="str">
            <v>laura.robinson@example.com</v>
          </cell>
          <cell r="E19">
            <v>44291</v>
          </cell>
          <cell r="F19">
            <v>61000</v>
          </cell>
          <cell r="G19" t="str">
            <v>Finance</v>
          </cell>
          <cell r="H19" t="b">
            <v>0</v>
          </cell>
          <cell r="I19">
            <v>45538</v>
          </cell>
          <cell r="J19">
            <v>89</v>
          </cell>
        </row>
        <row r="20">
          <cell r="A20">
            <v>19</v>
          </cell>
          <cell r="B20" t="str">
            <v>Paul Walker</v>
          </cell>
          <cell r="C20">
            <v>29</v>
          </cell>
          <cell r="D20" t="str">
            <v>paul.walker@example.com</v>
          </cell>
          <cell r="E20">
            <v>44968</v>
          </cell>
          <cell r="F20">
            <v>53000</v>
          </cell>
          <cell r="G20" t="str">
            <v>HR</v>
          </cell>
          <cell r="H20" t="b">
            <v>1</v>
          </cell>
          <cell r="I20">
            <v>45540</v>
          </cell>
          <cell r="J20">
            <v>92</v>
          </cell>
        </row>
        <row r="21">
          <cell r="A21">
            <v>20</v>
          </cell>
          <cell r="B21" t="str">
            <v>Nicole Young</v>
          </cell>
          <cell r="C21">
            <v>31</v>
          </cell>
          <cell r="D21" t="str">
            <v>nicole.young@example.com</v>
          </cell>
          <cell r="E21">
            <v>44834</v>
          </cell>
          <cell r="F21">
            <v>59000</v>
          </cell>
          <cell r="G21" t="str">
            <v>Marketing</v>
          </cell>
          <cell r="H21" t="b">
            <v>0</v>
          </cell>
          <cell r="I21">
            <v>45533</v>
          </cell>
          <cell r="J21">
            <v>81</v>
          </cell>
        </row>
        <row r="22">
          <cell r="A22">
            <v>21</v>
          </cell>
          <cell r="B22" t="str">
            <v>Mark Scott</v>
          </cell>
          <cell r="C22">
            <v>28</v>
          </cell>
          <cell r="D22" t="str">
            <v>mark.scott@example.com</v>
          </cell>
          <cell r="E22">
            <v>44359</v>
          </cell>
          <cell r="F22">
            <v>55000</v>
          </cell>
          <cell r="G22" t="str">
            <v>Engineering</v>
          </cell>
          <cell r="H22" t="b">
            <v>1</v>
          </cell>
          <cell r="I22">
            <v>45536</v>
          </cell>
          <cell r="J22">
            <v>80</v>
          </cell>
        </row>
        <row r="23">
          <cell r="A23">
            <v>22</v>
          </cell>
          <cell r="B23" t="str">
            <v>Jessica Hall</v>
          </cell>
          <cell r="C23">
            <v>26</v>
          </cell>
          <cell r="D23" t="str">
            <v>jessica.hall@example.com</v>
          </cell>
          <cell r="E23">
            <v>44704</v>
          </cell>
          <cell r="F23">
            <v>51000</v>
          </cell>
          <cell r="G23" t="str">
            <v>HR</v>
          </cell>
          <cell r="H23" t="b">
            <v>1</v>
          </cell>
          <cell r="I23">
            <v>45539</v>
          </cell>
          <cell r="J23">
            <v>88</v>
          </cell>
        </row>
        <row r="24">
          <cell r="A24">
            <v>23</v>
          </cell>
          <cell r="B24" t="str">
            <v>Kevin Allen</v>
          </cell>
          <cell r="C24">
            <v>35</v>
          </cell>
          <cell r="D24" t="str">
            <v>kevin.allen@example.com</v>
          </cell>
          <cell r="E24">
            <v>43787</v>
          </cell>
          <cell r="F24">
            <v>67000</v>
          </cell>
          <cell r="G24" t="str">
            <v>Finance</v>
          </cell>
          <cell r="H24" t="b">
            <v>1</v>
          </cell>
          <cell r="I24">
            <v>45537</v>
          </cell>
          <cell r="J24">
            <v>85</v>
          </cell>
        </row>
        <row r="25">
          <cell r="A25">
            <v>24</v>
          </cell>
          <cell r="B25" t="str">
            <v>Susan King</v>
          </cell>
          <cell r="C25">
            <v>41</v>
          </cell>
          <cell r="D25" t="str">
            <v>susan.king@example.com</v>
          </cell>
          <cell r="E25">
            <v>43881</v>
          </cell>
          <cell r="F25">
            <v>69000</v>
          </cell>
          <cell r="G25" t="str">
            <v>Marketing</v>
          </cell>
          <cell r="H25" t="b">
            <v>0</v>
          </cell>
          <cell r="I25">
            <v>45535</v>
          </cell>
          <cell r="J25">
            <v>77</v>
          </cell>
        </row>
        <row r="26">
          <cell r="A26">
            <v>25</v>
          </cell>
          <cell r="B26" t="str">
            <v>Jason Wright</v>
          </cell>
          <cell r="C26">
            <v>29</v>
          </cell>
          <cell r="D26" t="str">
            <v>jason.wright@example.com</v>
          </cell>
          <cell r="E26">
            <v>44997</v>
          </cell>
          <cell r="F26">
            <v>54000</v>
          </cell>
          <cell r="G26" t="str">
            <v>HR</v>
          </cell>
          <cell r="H26" t="b">
            <v>1</v>
          </cell>
          <cell r="I26">
            <v>45538</v>
          </cell>
          <cell r="J26">
            <v>82</v>
          </cell>
        </row>
        <row r="27">
          <cell r="A27">
            <v>26</v>
          </cell>
          <cell r="B27" t="str">
            <v>Emily Hill</v>
          </cell>
          <cell r="C27">
            <v>34</v>
          </cell>
          <cell r="D27" t="str">
            <v>emily.hill@example.com</v>
          </cell>
          <cell r="E27">
            <v>44435</v>
          </cell>
          <cell r="F27">
            <v>61000</v>
          </cell>
          <cell r="G27" t="str">
            <v>Engineering</v>
          </cell>
          <cell r="H27" t="b">
            <v>0</v>
          </cell>
          <cell r="I27">
            <v>45536</v>
          </cell>
          <cell r="J27">
            <v>79</v>
          </cell>
        </row>
        <row r="28">
          <cell r="A28">
            <v>27</v>
          </cell>
          <cell r="B28" t="str">
            <v>Tyler Adams</v>
          </cell>
          <cell r="C28">
            <v>28</v>
          </cell>
          <cell r="D28" t="str">
            <v>tyler.adams@example.com</v>
          </cell>
          <cell r="E28">
            <v>44665</v>
          </cell>
          <cell r="F28">
            <v>50000</v>
          </cell>
          <cell r="G28" t="str">
            <v>Finance</v>
          </cell>
          <cell r="H28" t="b">
            <v>1</v>
          </cell>
          <cell r="I28">
            <v>45534</v>
          </cell>
          <cell r="J28">
            <v>84</v>
          </cell>
        </row>
        <row r="29">
          <cell r="A29">
            <v>28</v>
          </cell>
          <cell r="B29" t="str">
            <v>Grace Nelson</v>
          </cell>
          <cell r="C29">
            <v>37</v>
          </cell>
          <cell r="D29" t="str">
            <v>grace.nelson@example.com</v>
          </cell>
          <cell r="E29">
            <v>43739</v>
          </cell>
          <cell r="F29">
            <v>68000</v>
          </cell>
          <cell r="G29" t="str">
            <v>Marketing</v>
          </cell>
          <cell r="H29" t="b">
            <v>1</v>
          </cell>
          <cell r="I29">
            <v>45540</v>
          </cell>
          <cell r="J29">
            <v>86</v>
          </cell>
        </row>
        <row r="30">
          <cell r="A30">
            <v>29</v>
          </cell>
          <cell r="B30" t="str">
            <v>Brandon Carter</v>
          </cell>
          <cell r="C30">
            <v>32</v>
          </cell>
          <cell r="D30" t="str">
            <v>brandon.carter@example.com</v>
          </cell>
          <cell r="E30">
            <v>43997</v>
          </cell>
          <cell r="F30">
            <v>63000</v>
          </cell>
          <cell r="G30" t="str">
            <v>HR</v>
          </cell>
          <cell r="H30" t="b">
            <v>1</v>
          </cell>
          <cell r="I30">
            <v>45537</v>
          </cell>
          <cell r="J30">
            <v>90</v>
          </cell>
        </row>
        <row r="31">
          <cell r="A31">
            <v>30</v>
          </cell>
          <cell r="B31" t="str">
            <v>Rebecca Mitchell</v>
          </cell>
          <cell r="C31">
            <v>29</v>
          </cell>
          <cell r="D31" t="str">
            <v>rebecca.mitchell@example.com</v>
          </cell>
          <cell r="E31">
            <v>45058</v>
          </cell>
          <cell r="F31">
            <v>56000</v>
          </cell>
          <cell r="G31" t="str">
            <v>Engineering</v>
          </cell>
          <cell r="H31" t="b">
            <v>1</v>
          </cell>
          <cell r="I31">
            <v>45533</v>
          </cell>
          <cell r="J31">
            <v>78</v>
          </cell>
        </row>
        <row r="32">
          <cell r="A32">
            <v>31</v>
          </cell>
          <cell r="B32" t="str">
            <v>Samuel Perez</v>
          </cell>
          <cell r="C32">
            <v>38</v>
          </cell>
          <cell r="D32" t="str">
            <v>samuel.perez@example.com</v>
          </cell>
          <cell r="E32">
            <v>43653</v>
          </cell>
          <cell r="F32">
            <v>72000</v>
          </cell>
          <cell r="G32" t="str">
            <v>Finance</v>
          </cell>
          <cell r="H32" t="b">
            <v>1</v>
          </cell>
          <cell r="I32">
            <v>45536</v>
          </cell>
          <cell r="J32">
            <v>87</v>
          </cell>
        </row>
        <row r="33">
          <cell r="A33">
            <v>32</v>
          </cell>
          <cell r="B33" t="str">
            <v>Victoria Roberts</v>
          </cell>
          <cell r="C33">
            <v>31</v>
          </cell>
          <cell r="D33" t="str">
            <v>victoria.roberts@example.com</v>
          </cell>
          <cell r="E33">
            <v>44252</v>
          </cell>
          <cell r="F33">
            <v>58000</v>
          </cell>
          <cell r="G33" t="str">
            <v>Marketing</v>
          </cell>
          <cell r="H33" t="b">
            <v>0</v>
          </cell>
          <cell r="I33">
            <v>45532</v>
          </cell>
          <cell r="J33">
            <v>82</v>
          </cell>
        </row>
        <row r="34">
          <cell r="A34">
            <v>33</v>
          </cell>
          <cell r="B34" t="str">
            <v>Anthony Morris</v>
          </cell>
          <cell r="C34">
            <v>27</v>
          </cell>
          <cell r="D34" t="str">
            <v>anthony.morris@example.com</v>
          </cell>
          <cell r="E34">
            <v>45139</v>
          </cell>
          <cell r="F34">
            <v>52000</v>
          </cell>
          <cell r="G34" t="str">
            <v>HR</v>
          </cell>
          <cell r="H34" t="b">
            <v>1</v>
          </cell>
          <cell r="I34">
            <v>45539</v>
          </cell>
          <cell r="J34">
            <v>83</v>
          </cell>
        </row>
        <row r="35">
          <cell r="A35">
            <v>34</v>
          </cell>
          <cell r="B35" t="str">
            <v>Melissa Collins</v>
          </cell>
          <cell r="C35">
            <v>35</v>
          </cell>
          <cell r="D35" t="str">
            <v>melissa.collins@example.com</v>
          </cell>
          <cell r="E35">
            <v>44183</v>
          </cell>
          <cell r="F35">
            <v>67000</v>
          </cell>
          <cell r="G35" t="str">
            <v>Engineering</v>
          </cell>
          <cell r="H35" t="b">
            <v>1</v>
          </cell>
          <cell r="I35">
            <v>45538</v>
          </cell>
          <cell r="J35">
            <v>88</v>
          </cell>
        </row>
        <row r="36">
          <cell r="A36">
            <v>35</v>
          </cell>
          <cell r="B36" t="str">
            <v>George Baker</v>
          </cell>
          <cell r="C36">
            <v>40</v>
          </cell>
          <cell r="D36" t="str">
            <v>george.baker@example.com</v>
          </cell>
          <cell r="E36">
            <v>43728</v>
          </cell>
          <cell r="F36">
            <v>70000</v>
          </cell>
          <cell r="G36" t="str">
            <v>Finance</v>
          </cell>
          <cell r="H36" t="b">
            <v>0</v>
          </cell>
          <cell r="I36">
            <v>45536</v>
          </cell>
          <cell r="J36">
            <v>85</v>
          </cell>
        </row>
        <row r="37">
          <cell r="A37">
            <v>36</v>
          </cell>
          <cell r="B37" t="str">
            <v>Amanda Allen</v>
          </cell>
          <cell r="C37">
            <v>26</v>
          </cell>
          <cell r="D37" t="str">
            <v>amanda.allen@example.com</v>
          </cell>
          <cell r="E37">
            <v>44839</v>
          </cell>
          <cell r="F37">
            <v>49000</v>
          </cell>
          <cell r="G37" t="str">
            <v>Marketing</v>
          </cell>
          <cell r="H37" t="b">
            <v>1</v>
          </cell>
          <cell r="I37">
            <v>45534</v>
          </cell>
          <cell r="J37">
            <v>79</v>
          </cell>
        </row>
        <row r="38">
          <cell r="A38">
            <v>37</v>
          </cell>
          <cell r="B38" t="str">
            <v>Robert Johnson</v>
          </cell>
          <cell r="C38">
            <v>33</v>
          </cell>
          <cell r="D38" t="str">
            <v>robert.johnson@example.com</v>
          </cell>
          <cell r="E38">
            <v>44270</v>
          </cell>
          <cell r="F38">
            <v>62000</v>
          </cell>
          <cell r="G38" t="str">
            <v>HR</v>
          </cell>
          <cell r="H38" t="b">
            <v>0</v>
          </cell>
          <cell r="I38">
            <v>45537</v>
          </cell>
          <cell r="J38">
            <v>82</v>
          </cell>
        </row>
        <row r="39">
          <cell r="A39">
            <v>38</v>
          </cell>
          <cell r="B39" t="str">
            <v>Nancy Turner</v>
          </cell>
          <cell r="C39">
            <v>29</v>
          </cell>
          <cell r="D39" t="str">
            <v>nancy.turner@example.com</v>
          </cell>
          <cell r="E39">
            <v>44931</v>
          </cell>
          <cell r="F39">
            <v>53000</v>
          </cell>
          <cell r="G39" t="str">
            <v>Engineering</v>
          </cell>
          <cell r="H39" t="b">
            <v>1</v>
          </cell>
          <cell r="I39">
            <v>45536</v>
          </cell>
          <cell r="J39">
            <v>90</v>
          </cell>
        </row>
        <row r="40">
          <cell r="A40">
            <v>39</v>
          </cell>
          <cell r="B40" t="str">
            <v>Steven Adams</v>
          </cell>
          <cell r="C40">
            <v>31</v>
          </cell>
          <cell r="D40" t="str">
            <v>steven.adams@example.com</v>
          </cell>
          <cell r="E40">
            <v>44722</v>
          </cell>
          <cell r="F40">
            <v>60000</v>
          </cell>
          <cell r="G40" t="str">
            <v>Finance</v>
          </cell>
          <cell r="H40" t="b">
            <v>1</v>
          </cell>
          <cell r="I40">
            <v>45531</v>
          </cell>
          <cell r="J40">
            <v>87</v>
          </cell>
        </row>
        <row r="41">
          <cell r="A41">
            <v>40</v>
          </cell>
          <cell r="B41" t="str">
            <v>Kelly Brown</v>
          </cell>
          <cell r="C41">
            <v>30</v>
          </cell>
          <cell r="D41" t="str">
            <v>kelly.brown@example.com</v>
          </cell>
          <cell r="E41">
            <v>44336</v>
          </cell>
          <cell r="F41">
            <v>57000</v>
          </cell>
          <cell r="G41" t="str">
            <v>Marketing</v>
          </cell>
          <cell r="H41" t="b">
            <v>0</v>
          </cell>
          <cell r="I41">
            <v>45536</v>
          </cell>
          <cell r="J41">
            <v>84</v>
          </cell>
        </row>
        <row r="42">
          <cell r="A42">
            <v>41</v>
          </cell>
          <cell r="B42" t="str">
            <v>Jennifer Murphy</v>
          </cell>
          <cell r="C42">
            <v>27</v>
          </cell>
          <cell r="D42" t="str">
            <v>jennifer.murphy@example.com</v>
          </cell>
          <cell r="E42">
            <v>45015</v>
          </cell>
          <cell r="F42">
            <v>50000</v>
          </cell>
          <cell r="G42" t="str">
            <v>HR</v>
          </cell>
          <cell r="H42" t="b">
            <v>1</v>
          </cell>
          <cell r="I42">
            <v>45539</v>
          </cell>
          <cell r="J42">
            <v>92</v>
          </cell>
        </row>
        <row r="43">
          <cell r="A43">
            <v>42</v>
          </cell>
          <cell r="B43" t="str">
            <v>Patrick Thomas</v>
          </cell>
          <cell r="C43">
            <v>34</v>
          </cell>
          <cell r="D43" t="str">
            <v>patrick.thomas@example.com</v>
          </cell>
          <cell r="E43">
            <v>44027</v>
          </cell>
          <cell r="F43">
            <v>62000</v>
          </cell>
          <cell r="G43" t="str">
            <v>Engineering</v>
          </cell>
          <cell r="H43" t="b">
            <v>0</v>
          </cell>
          <cell r="I43">
            <v>45534</v>
          </cell>
          <cell r="J43">
            <v>78</v>
          </cell>
        </row>
        <row r="44">
          <cell r="A44">
            <v>43</v>
          </cell>
          <cell r="B44" t="str">
            <v>Laura Phillips</v>
          </cell>
          <cell r="C44">
            <v>29</v>
          </cell>
          <cell r="D44" t="str">
            <v>laura.phillips@example.com</v>
          </cell>
          <cell r="E44">
            <v>44566</v>
          </cell>
          <cell r="F44">
            <v>55000</v>
          </cell>
          <cell r="G44" t="str">
            <v>Finance</v>
          </cell>
          <cell r="H44" t="b">
            <v>1</v>
          </cell>
          <cell r="I44">
            <v>45538</v>
          </cell>
          <cell r="J44">
            <v>91</v>
          </cell>
        </row>
        <row r="45">
          <cell r="A45">
            <v>44</v>
          </cell>
          <cell r="B45" t="str">
            <v>Richard Evans</v>
          </cell>
          <cell r="C45">
            <v>32</v>
          </cell>
          <cell r="D45" t="str">
            <v>richard.evans@example.com</v>
          </cell>
          <cell r="E45">
            <v>44444</v>
          </cell>
          <cell r="F45">
            <v>59000</v>
          </cell>
          <cell r="G45" t="str">
            <v>HR</v>
          </cell>
          <cell r="H45" t="b">
            <v>1</v>
          </cell>
          <cell r="I45">
            <v>45540</v>
          </cell>
          <cell r="J45">
            <v>83</v>
          </cell>
        </row>
        <row r="46">
          <cell r="A46">
            <v>45</v>
          </cell>
          <cell r="B46" t="str">
            <v>Katherine White</v>
          </cell>
          <cell r="C46">
            <v>30</v>
          </cell>
          <cell r="D46" t="str">
            <v>katherine.white@example.com</v>
          </cell>
          <cell r="E46">
            <v>44969</v>
          </cell>
          <cell r="F46">
            <v>54000</v>
          </cell>
          <cell r="G46" t="str">
            <v>Marketing</v>
          </cell>
          <cell r="H46" t="b">
            <v>1</v>
          </cell>
          <cell r="I46">
            <v>45535</v>
          </cell>
          <cell r="J46">
            <v>87</v>
          </cell>
        </row>
        <row r="47">
          <cell r="A47">
            <v>46</v>
          </cell>
          <cell r="B47" t="str">
            <v>Steven Collins</v>
          </cell>
          <cell r="C47">
            <v>36</v>
          </cell>
          <cell r="D47" t="str">
            <v>steven.collins@example.com</v>
          </cell>
          <cell r="E47">
            <v>44145</v>
          </cell>
          <cell r="F47">
            <v>68000</v>
          </cell>
          <cell r="G47" t="str">
            <v>Engineering</v>
          </cell>
          <cell r="H47" t="b">
            <v>1</v>
          </cell>
          <cell r="I47">
            <v>45537</v>
          </cell>
          <cell r="J47">
            <v>80</v>
          </cell>
        </row>
        <row r="48">
          <cell r="A48">
            <v>47</v>
          </cell>
          <cell r="B48" t="str">
            <v>Angela Mitchell</v>
          </cell>
          <cell r="C48">
            <v>29</v>
          </cell>
          <cell r="D48" t="str">
            <v>angela.mitchell@example.com</v>
          </cell>
          <cell r="E48">
            <v>44470</v>
          </cell>
          <cell r="F48">
            <v>56000</v>
          </cell>
          <cell r="G48" t="str">
            <v>Finance</v>
          </cell>
          <cell r="H48" t="b">
            <v>1</v>
          </cell>
          <cell r="I48">
            <v>45533</v>
          </cell>
          <cell r="J48">
            <v>89</v>
          </cell>
        </row>
        <row r="49">
          <cell r="A49">
            <v>48</v>
          </cell>
          <cell r="B49" t="str">
            <v>David Robinson</v>
          </cell>
          <cell r="C49">
            <v>28</v>
          </cell>
          <cell r="D49" t="str">
            <v>david.robinson@example.com</v>
          </cell>
          <cell r="E49">
            <v>44798</v>
          </cell>
          <cell r="F49">
            <v>55000</v>
          </cell>
          <cell r="G49" t="str">
            <v>HR</v>
          </cell>
          <cell r="H49" t="b">
            <v>0</v>
          </cell>
          <cell r="I49">
            <v>45536</v>
          </cell>
          <cell r="J49">
            <v>81</v>
          </cell>
        </row>
        <row r="50">
          <cell r="A50">
            <v>49</v>
          </cell>
          <cell r="B50" t="str">
            <v>Maria Lewis</v>
          </cell>
          <cell r="C50">
            <v>33</v>
          </cell>
          <cell r="D50" t="str">
            <v>maria.lewis@example.com</v>
          </cell>
          <cell r="E50">
            <v>43600</v>
          </cell>
          <cell r="F50">
            <v>60000</v>
          </cell>
          <cell r="G50" t="str">
            <v>Marketing</v>
          </cell>
          <cell r="H50" t="b">
            <v>1</v>
          </cell>
          <cell r="I50">
            <v>45538</v>
          </cell>
          <cell r="J50">
            <v>90</v>
          </cell>
        </row>
        <row r="51">
          <cell r="A51">
            <v>50</v>
          </cell>
          <cell r="B51" t="str">
            <v>James Scott</v>
          </cell>
          <cell r="C51">
            <v>39</v>
          </cell>
          <cell r="D51" t="str">
            <v>james.scott@example.com</v>
          </cell>
          <cell r="E51">
            <v>43886</v>
          </cell>
          <cell r="F51">
            <v>67000</v>
          </cell>
          <cell r="G51" t="str">
            <v>Finance</v>
          </cell>
          <cell r="H51" t="b">
            <v>0</v>
          </cell>
          <cell r="I51">
            <v>45537</v>
          </cell>
          <cell r="J51">
            <v>85</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JANA" refreshedDate="46006.478616319444" createdVersion="8" refreshedVersion="8" minRefreshableVersion="3" recordCount="50" xr:uid="{5AFE6732-74FE-40A6-89E4-4B6C69AEBD81}">
  <cacheSource type="worksheet">
    <worksheetSource ref="A1:J51" sheet="Data"/>
  </cacheSource>
  <cacheFields count="13">
    <cacheField name="ID" numFmtId="0">
      <sharedItems containsSemiMixedTypes="0" containsString="0" containsNumber="1" containsInteger="1" minValue="1" maxValue="50"/>
    </cacheField>
    <cacheField name="Name" numFmtId="0">
      <sharedItems count="50">
        <s v="John Doe"/>
        <s v="Jane Smith"/>
        <s v="Bob Johnson"/>
        <s v="Alice Williams"/>
        <s v="Michael Brown"/>
        <s v="Emily Davis"/>
        <s v="David Wilson"/>
        <s v="Sarah Moore"/>
        <s v="James Taylor"/>
        <s v="Lisa Anderson"/>
        <s v="Chris Martinez"/>
        <s v="Karen Thomas"/>
        <s v="Steven Jackson"/>
        <s v="Olivia Lee"/>
        <s v="Daniel Harris"/>
        <s v="Megan Clark"/>
        <s v="Andrew Lewis"/>
        <s v="Laura Robinson"/>
        <s v="Paul Walker"/>
        <s v="Nicole Young"/>
        <s v="Mark Scott"/>
        <s v="Jessica Hall"/>
        <s v="Kevin Allen"/>
        <s v="Susan King"/>
        <s v="Jason Wright"/>
        <s v="Emily Hill"/>
        <s v="Tyler Adams"/>
        <s v="Grace Nelson"/>
        <s v="Brandon Carter"/>
        <s v="Rebecca Mitchell"/>
        <s v="Samuel Perez"/>
        <s v="Victoria Roberts"/>
        <s v="Anthony Morris"/>
        <s v="Melissa Collins"/>
        <s v="George Baker"/>
        <s v="Amanda Allen"/>
        <s v="Robert Johnson"/>
        <s v="Nancy Turner"/>
        <s v="Steven Adams"/>
        <s v="Kelly Brown"/>
        <s v="Jennifer Murphy"/>
        <s v="Patrick Thomas"/>
        <s v="Laura Phillips"/>
        <s v="Richard Evans"/>
        <s v="Katherine White"/>
        <s v="Steven Collins"/>
        <s v="Angela Mitchell"/>
        <s v="David Robinson"/>
        <s v="Maria Lewis"/>
        <s v="James Scott"/>
      </sharedItems>
    </cacheField>
    <cacheField name="Age" numFmtId="0">
      <sharedItems containsSemiMixedTypes="0" containsString="0" containsNumber="1" containsInteger="1" minValue="25" maxValue="45"/>
    </cacheField>
    <cacheField name="Email" numFmtId="0">
      <sharedItems/>
    </cacheField>
    <cacheField name="JoinDate" numFmtId="14">
      <sharedItems containsSemiMixedTypes="0" containsNonDate="0" containsDate="1" containsString="0" minDate="2018-09-10T00:00:00" maxDate="2023-08-02T00:00:00" count="50">
        <d v="2022-01-15T00:00:00"/>
        <d v="2021-11-23T00:00:00"/>
        <d v="2020-05-10T00:00:00"/>
        <d v="2023-07-30T00:00:00"/>
        <d v="2019-08-22T00:00:00"/>
        <d v="2022-03-15T00:00:00"/>
        <d v="2021-01-10T00:00:00"/>
        <d v="2022-06-05T00:00:00"/>
        <d v="2018-12-15T00:00:00"/>
        <d v="2020-09-30T00:00:00"/>
        <d v="2023-01-20T00:00:00"/>
        <d v="2022-07-18T00:00:00"/>
        <d v="2019-12-25T00:00:00"/>
        <d v="2021-10-15T00:00:00"/>
        <d v="2020-03-23T00:00:00"/>
        <d v="2023-05-19T00:00:00"/>
        <d v="2018-09-10T00:00:00"/>
        <d v="2021-04-05T00:00:00"/>
        <d v="2023-02-11T00:00:00"/>
        <d v="2022-09-30T00:00:00"/>
        <d v="2021-06-12T00:00:00"/>
        <d v="2022-05-23T00:00:00"/>
        <d v="2019-11-18T00:00:00"/>
        <d v="2020-02-20T00:00:00"/>
        <d v="2023-03-12T00:00:00"/>
        <d v="2021-08-27T00:00:00"/>
        <d v="2022-04-14T00:00:00"/>
        <d v="2019-10-01T00:00:00"/>
        <d v="2020-06-15T00:00:00"/>
        <d v="2023-05-12T00:00:00"/>
        <d v="2019-07-07T00:00:00"/>
        <d v="2021-02-25T00:00:00"/>
        <d v="2023-08-01T00:00:00"/>
        <d v="2020-12-18T00:00:00"/>
        <d v="2019-09-20T00:00:00"/>
        <d v="2022-10-05T00:00:00"/>
        <d v="2021-03-15T00:00:00"/>
        <d v="2023-01-05T00:00:00"/>
        <d v="2022-06-10T00:00:00"/>
        <d v="2021-05-20T00:00:00"/>
        <d v="2023-03-30T00:00:00"/>
        <d v="2020-07-15T00:00:00"/>
        <d v="2022-01-05T00:00:00"/>
        <d v="2021-09-05T00:00:00"/>
        <d v="2023-02-12T00:00:00"/>
        <d v="2020-11-10T00:00:00"/>
        <d v="2021-10-01T00:00:00"/>
        <d v="2022-08-25T00:00:00"/>
        <d v="2019-05-15T00:00:00"/>
        <d v="2020-02-25T00:00:00"/>
      </sharedItems>
      <fieldGroup par="12"/>
    </cacheField>
    <cacheField name="Salary" numFmtId="0">
      <sharedItems containsSemiMixedTypes="0" containsString="0" containsNumber="1" containsInteger="1" minValue="47000" maxValue="75000" count="24">
        <n v="55000"/>
        <n v="62000"/>
        <n v="75000"/>
        <n v="47000"/>
        <n v="68000"/>
        <n v="52000"/>
        <n v="60000"/>
        <n v="70000"/>
        <n v="65000"/>
        <n v="48000"/>
        <n v="57000"/>
        <n v="49000"/>
        <n v="61000"/>
        <n v="53000"/>
        <n v="59000"/>
        <n v="51000"/>
        <n v="67000"/>
        <n v="69000"/>
        <n v="54000"/>
        <n v="50000"/>
        <n v="63000"/>
        <n v="56000"/>
        <n v="72000"/>
        <n v="58000"/>
      </sharedItems>
    </cacheField>
    <cacheField name="Department" numFmtId="0">
      <sharedItems count="4">
        <s v="Marketing"/>
        <s v="Finance"/>
        <s v="Engineering"/>
        <s v="HR"/>
      </sharedItems>
    </cacheField>
    <cacheField name="IsActive" numFmtId="0">
      <sharedItems count="2">
        <b v="1"/>
        <b v="0"/>
      </sharedItems>
    </cacheField>
    <cacheField name="LastLogin" numFmtId="14">
      <sharedItems containsSemiMixedTypes="0" containsNonDate="0" containsDate="1" containsString="0" minDate="2024-08-25T00:00:00" maxDate="2024-09-06T00:00:00"/>
    </cacheField>
    <cacheField name="Score" numFmtId="0">
      <sharedItems containsSemiMixedTypes="0" containsString="0" containsNumber="1" containsInteger="1" minValue="70" maxValue="93"/>
    </cacheField>
    <cacheField name="Months (JoinDate)" numFmtId="0" databaseField="0">
      <fieldGroup base="4">
        <rangePr groupBy="months" startDate="2018-09-10T00:00:00" endDate="2023-08-02T00:00:00"/>
        <groupItems count="14">
          <s v="&lt;10-09-2018"/>
          <s v="Jan"/>
          <s v="Feb"/>
          <s v="Mar"/>
          <s v="Apr"/>
          <s v="May"/>
          <s v="Jun"/>
          <s v="Jul"/>
          <s v="Aug"/>
          <s v="Sep"/>
          <s v="Oct"/>
          <s v="Nov"/>
          <s v="Dec"/>
          <s v="&gt;02-08-2023"/>
        </groupItems>
      </fieldGroup>
    </cacheField>
    <cacheField name="Quarters (JoinDate)" numFmtId="0" databaseField="0">
      <fieldGroup base="4">
        <rangePr groupBy="quarters" startDate="2018-09-10T00:00:00" endDate="2023-08-02T00:00:00"/>
        <groupItems count="6">
          <s v="&lt;10-09-2018"/>
          <s v="Qtr1"/>
          <s v="Qtr2"/>
          <s v="Qtr3"/>
          <s v="Qtr4"/>
          <s v="&gt;02-08-2023"/>
        </groupItems>
      </fieldGroup>
    </cacheField>
    <cacheField name="Years (JoinDate)" numFmtId="0" databaseField="0">
      <fieldGroup base="4">
        <rangePr groupBy="years" startDate="2018-09-10T00:00:00" endDate="2023-08-02T00:00:00"/>
        <groupItems count="8">
          <s v="&lt;10-09-2018"/>
          <s v="2018"/>
          <s v="2019"/>
          <s v="2020"/>
          <s v="2021"/>
          <s v="2022"/>
          <s v="2023"/>
          <s v="&gt;02-08-2023"/>
        </groupItems>
      </fieldGroup>
    </cacheField>
  </cacheFields>
  <extLst>
    <ext xmlns:x14="http://schemas.microsoft.com/office/spreadsheetml/2009/9/main" uri="{725AE2AE-9491-48be-B2B4-4EB974FC3084}">
      <x14:pivotCacheDefinition pivotCacheId="13962464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1"/>
    <x v="0"/>
    <n v="29"/>
    <s v="john.doe@example.com"/>
    <x v="0"/>
    <x v="0"/>
    <x v="0"/>
    <x v="0"/>
    <d v="2024-09-01T00:00:00"/>
    <n v="88"/>
  </r>
  <r>
    <n v="2"/>
    <x v="1"/>
    <n v="34"/>
    <s v="jane.smith@example.com"/>
    <x v="1"/>
    <x v="1"/>
    <x v="1"/>
    <x v="1"/>
    <d v="2024-09-03T00:00:00"/>
    <n v="92"/>
  </r>
  <r>
    <n v="3"/>
    <x v="2"/>
    <n v="45"/>
    <s v="bob.johnson@example.com"/>
    <x v="2"/>
    <x v="2"/>
    <x v="2"/>
    <x v="0"/>
    <d v="2024-09-02T00:00:00"/>
    <n v="77"/>
  </r>
  <r>
    <n v="4"/>
    <x v="3"/>
    <n v="28"/>
    <s v="alice.williams@example.com"/>
    <x v="3"/>
    <x v="3"/>
    <x v="3"/>
    <x v="0"/>
    <d v="2024-08-30T00:00:00"/>
    <n v="85"/>
  </r>
  <r>
    <n v="5"/>
    <x v="4"/>
    <n v="38"/>
    <s v="michael.brown@example.com"/>
    <x v="4"/>
    <x v="4"/>
    <x v="1"/>
    <x v="0"/>
    <d v="2024-09-01T00:00:00"/>
    <n v="90"/>
  </r>
  <r>
    <n v="6"/>
    <x v="5"/>
    <n v="25"/>
    <s v="emily.davis@example.com"/>
    <x v="5"/>
    <x v="5"/>
    <x v="0"/>
    <x v="0"/>
    <d v="2024-08-25T00:00:00"/>
    <n v="79"/>
  </r>
  <r>
    <n v="7"/>
    <x v="6"/>
    <n v="31"/>
    <s v="david.wilson@example.com"/>
    <x v="6"/>
    <x v="6"/>
    <x v="2"/>
    <x v="1"/>
    <d v="2024-08-28T00:00:00"/>
    <n v="83"/>
  </r>
  <r>
    <n v="8"/>
    <x v="7"/>
    <n v="29"/>
    <s v="sarah.moore@example.com"/>
    <x v="7"/>
    <x v="0"/>
    <x v="3"/>
    <x v="0"/>
    <d v="2024-09-05T00:00:00"/>
    <n v="91"/>
  </r>
  <r>
    <n v="9"/>
    <x v="8"/>
    <n v="40"/>
    <s v="james.taylor@example.com"/>
    <x v="8"/>
    <x v="7"/>
    <x v="0"/>
    <x v="1"/>
    <d v="2024-09-02T00:00:00"/>
    <n v="70"/>
  </r>
  <r>
    <n v="10"/>
    <x v="9"/>
    <n v="36"/>
    <s v="lisa.anderson@example.com"/>
    <x v="9"/>
    <x v="8"/>
    <x v="1"/>
    <x v="0"/>
    <d v="2024-09-03T00:00:00"/>
    <n v="86"/>
  </r>
  <r>
    <n v="11"/>
    <x v="10"/>
    <n v="27"/>
    <s v="chris.martinez@example.com"/>
    <x v="10"/>
    <x v="9"/>
    <x v="3"/>
    <x v="0"/>
    <d v="2024-09-01T00:00:00"/>
    <n v="93"/>
  </r>
  <r>
    <n v="12"/>
    <x v="11"/>
    <n v="33"/>
    <s v="karen.thomas@example.com"/>
    <x v="11"/>
    <x v="1"/>
    <x v="2"/>
    <x v="1"/>
    <d v="2024-08-27T00:00:00"/>
    <n v="80"/>
  </r>
  <r>
    <n v="13"/>
    <x v="12"/>
    <n v="40"/>
    <s v="steven.jackson@example.com"/>
    <x v="12"/>
    <x v="7"/>
    <x v="1"/>
    <x v="0"/>
    <d v="2024-09-04T00:00:00"/>
    <n v="87"/>
  </r>
  <r>
    <n v="14"/>
    <x v="13"/>
    <n v="30"/>
    <s v="olivia.lee@example.com"/>
    <x v="13"/>
    <x v="10"/>
    <x v="0"/>
    <x v="0"/>
    <d v="2024-09-01T00:00:00"/>
    <n v="78"/>
  </r>
  <r>
    <n v="15"/>
    <x v="14"/>
    <n v="35"/>
    <s v="daniel.harris@example.com"/>
    <x v="14"/>
    <x v="8"/>
    <x v="3"/>
    <x v="1"/>
    <d v="2024-08-30T00:00:00"/>
    <n v="82"/>
  </r>
  <r>
    <n v="16"/>
    <x v="15"/>
    <n v="26"/>
    <s v="megan.clark@example.com"/>
    <x v="15"/>
    <x v="11"/>
    <x v="0"/>
    <x v="0"/>
    <d v="2024-08-28T00:00:00"/>
    <n v="84"/>
  </r>
  <r>
    <n v="17"/>
    <x v="16"/>
    <n v="37"/>
    <s v="andrew.lewis@example.com"/>
    <x v="16"/>
    <x v="4"/>
    <x v="2"/>
    <x v="0"/>
    <d v="2024-09-02T00:00:00"/>
    <n v="76"/>
  </r>
  <r>
    <n v="18"/>
    <x v="17"/>
    <n v="32"/>
    <s v="laura.robinson@example.com"/>
    <x v="17"/>
    <x v="12"/>
    <x v="1"/>
    <x v="1"/>
    <d v="2024-09-03T00:00:00"/>
    <n v="89"/>
  </r>
  <r>
    <n v="19"/>
    <x v="18"/>
    <n v="29"/>
    <s v="paul.walker@example.com"/>
    <x v="18"/>
    <x v="13"/>
    <x v="3"/>
    <x v="0"/>
    <d v="2024-09-05T00:00:00"/>
    <n v="92"/>
  </r>
  <r>
    <n v="20"/>
    <x v="19"/>
    <n v="31"/>
    <s v="nicole.young@example.com"/>
    <x v="19"/>
    <x v="14"/>
    <x v="0"/>
    <x v="1"/>
    <d v="2024-08-29T00:00:00"/>
    <n v="81"/>
  </r>
  <r>
    <n v="21"/>
    <x v="20"/>
    <n v="28"/>
    <s v="mark.scott@example.com"/>
    <x v="20"/>
    <x v="0"/>
    <x v="2"/>
    <x v="0"/>
    <d v="2024-09-01T00:00:00"/>
    <n v="80"/>
  </r>
  <r>
    <n v="22"/>
    <x v="21"/>
    <n v="26"/>
    <s v="jessica.hall@example.com"/>
    <x v="21"/>
    <x v="15"/>
    <x v="3"/>
    <x v="0"/>
    <d v="2024-09-04T00:00:00"/>
    <n v="88"/>
  </r>
  <r>
    <n v="23"/>
    <x v="22"/>
    <n v="35"/>
    <s v="kevin.allen@example.com"/>
    <x v="22"/>
    <x v="16"/>
    <x v="1"/>
    <x v="0"/>
    <d v="2024-09-02T00:00:00"/>
    <n v="85"/>
  </r>
  <r>
    <n v="24"/>
    <x v="23"/>
    <n v="41"/>
    <s v="susan.king@example.com"/>
    <x v="23"/>
    <x v="17"/>
    <x v="0"/>
    <x v="1"/>
    <d v="2024-08-31T00:00:00"/>
    <n v="77"/>
  </r>
  <r>
    <n v="25"/>
    <x v="24"/>
    <n v="29"/>
    <s v="jason.wright@example.com"/>
    <x v="24"/>
    <x v="18"/>
    <x v="3"/>
    <x v="0"/>
    <d v="2024-09-03T00:00:00"/>
    <n v="82"/>
  </r>
  <r>
    <n v="26"/>
    <x v="25"/>
    <n v="34"/>
    <s v="emily.hill@example.com"/>
    <x v="25"/>
    <x v="12"/>
    <x v="2"/>
    <x v="1"/>
    <d v="2024-09-01T00:00:00"/>
    <n v="79"/>
  </r>
  <r>
    <n v="27"/>
    <x v="26"/>
    <n v="28"/>
    <s v="tyler.adams@example.com"/>
    <x v="26"/>
    <x v="19"/>
    <x v="1"/>
    <x v="0"/>
    <d v="2024-08-30T00:00:00"/>
    <n v="84"/>
  </r>
  <r>
    <n v="28"/>
    <x v="27"/>
    <n v="37"/>
    <s v="grace.nelson@example.com"/>
    <x v="27"/>
    <x v="4"/>
    <x v="0"/>
    <x v="0"/>
    <d v="2024-09-05T00:00:00"/>
    <n v="86"/>
  </r>
  <r>
    <n v="29"/>
    <x v="28"/>
    <n v="32"/>
    <s v="brandon.carter@example.com"/>
    <x v="28"/>
    <x v="20"/>
    <x v="3"/>
    <x v="0"/>
    <d v="2024-09-02T00:00:00"/>
    <n v="90"/>
  </r>
  <r>
    <n v="30"/>
    <x v="29"/>
    <n v="29"/>
    <s v="rebecca.mitchell@example.com"/>
    <x v="29"/>
    <x v="21"/>
    <x v="2"/>
    <x v="0"/>
    <d v="2024-08-29T00:00:00"/>
    <n v="78"/>
  </r>
  <r>
    <n v="31"/>
    <x v="30"/>
    <n v="38"/>
    <s v="samuel.perez@example.com"/>
    <x v="30"/>
    <x v="22"/>
    <x v="1"/>
    <x v="0"/>
    <d v="2024-09-01T00:00:00"/>
    <n v="87"/>
  </r>
  <r>
    <n v="32"/>
    <x v="31"/>
    <n v="31"/>
    <s v="victoria.roberts@example.com"/>
    <x v="31"/>
    <x v="23"/>
    <x v="0"/>
    <x v="1"/>
    <d v="2024-08-28T00:00:00"/>
    <n v="82"/>
  </r>
  <r>
    <n v="33"/>
    <x v="32"/>
    <n v="27"/>
    <s v="anthony.morris@example.com"/>
    <x v="32"/>
    <x v="5"/>
    <x v="3"/>
    <x v="0"/>
    <d v="2024-09-04T00:00:00"/>
    <n v="83"/>
  </r>
  <r>
    <n v="34"/>
    <x v="33"/>
    <n v="35"/>
    <s v="melissa.collins@example.com"/>
    <x v="33"/>
    <x v="16"/>
    <x v="2"/>
    <x v="0"/>
    <d v="2024-09-03T00:00:00"/>
    <n v="88"/>
  </r>
  <r>
    <n v="35"/>
    <x v="34"/>
    <n v="40"/>
    <s v="george.baker@example.com"/>
    <x v="34"/>
    <x v="7"/>
    <x v="1"/>
    <x v="1"/>
    <d v="2024-09-01T00:00:00"/>
    <n v="85"/>
  </r>
  <r>
    <n v="36"/>
    <x v="35"/>
    <n v="26"/>
    <s v="amanda.allen@example.com"/>
    <x v="35"/>
    <x v="11"/>
    <x v="0"/>
    <x v="0"/>
    <d v="2024-08-30T00:00:00"/>
    <n v="79"/>
  </r>
  <r>
    <n v="37"/>
    <x v="36"/>
    <n v="33"/>
    <s v="robert.johnson@example.com"/>
    <x v="36"/>
    <x v="1"/>
    <x v="3"/>
    <x v="1"/>
    <d v="2024-09-02T00:00:00"/>
    <n v="82"/>
  </r>
  <r>
    <n v="38"/>
    <x v="37"/>
    <n v="29"/>
    <s v="nancy.turner@example.com"/>
    <x v="37"/>
    <x v="13"/>
    <x v="2"/>
    <x v="0"/>
    <d v="2024-09-01T00:00:00"/>
    <n v="90"/>
  </r>
  <r>
    <n v="39"/>
    <x v="38"/>
    <n v="31"/>
    <s v="steven.adams@example.com"/>
    <x v="38"/>
    <x v="6"/>
    <x v="1"/>
    <x v="0"/>
    <d v="2024-08-27T00:00:00"/>
    <n v="87"/>
  </r>
  <r>
    <n v="40"/>
    <x v="39"/>
    <n v="30"/>
    <s v="kelly.brown@example.com"/>
    <x v="39"/>
    <x v="10"/>
    <x v="0"/>
    <x v="1"/>
    <d v="2024-09-01T00:00:00"/>
    <n v="84"/>
  </r>
  <r>
    <n v="41"/>
    <x v="40"/>
    <n v="27"/>
    <s v="jennifer.murphy@example.com"/>
    <x v="40"/>
    <x v="19"/>
    <x v="3"/>
    <x v="0"/>
    <d v="2024-09-04T00:00:00"/>
    <n v="92"/>
  </r>
  <r>
    <n v="42"/>
    <x v="41"/>
    <n v="34"/>
    <s v="patrick.thomas@example.com"/>
    <x v="41"/>
    <x v="1"/>
    <x v="2"/>
    <x v="1"/>
    <d v="2024-08-30T00:00:00"/>
    <n v="78"/>
  </r>
  <r>
    <n v="43"/>
    <x v="42"/>
    <n v="29"/>
    <s v="laura.phillips@example.com"/>
    <x v="42"/>
    <x v="0"/>
    <x v="1"/>
    <x v="0"/>
    <d v="2024-09-03T00:00:00"/>
    <n v="91"/>
  </r>
  <r>
    <n v="44"/>
    <x v="43"/>
    <n v="32"/>
    <s v="richard.evans@example.com"/>
    <x v="43"/>
    <x v="14"/>
    <x v="3"/>
    <x v="0"/>
    <d v="2024-09-05T00:00:00"/>
    <n v="83"/>
  </r>
  <r>
    <n v="45"/>
    <x v="44"/>
    <n v="30"/>
    <s v="katherine.white@example.com"/>
    <x v="44"/>
    <x v="18"/>
    <x v="0"/>
    <x v="0"/>
    <d v="2024-08-31T00:00:00"/>
    <n v="87"/>
  </r>
  <r>
    <n v="46"/>
    <x v="45"/>
    <n v="36"/>
    <s v="steven.collins@example.com"/>
    <x v="45"/>
    <x v="4"/>
    <x v="2"/>
    <x v="0"/>
    <d v="2024-09-02T00:00:00"/>
    <n v="80"/>
  </r>
  <r>
    <n v="47"/>
    <x v="46"/>
    <n v="29"/>
    <s v="angela.mitchell@example.com"/>
    <x v="46"/>
    <x v="21"/>
    <x v="1"/>
    <x v="0"/>
    <d v="2024-08-29T00:00:00"/>
    <n v="89"/>
  </r>
  <r>
    <n v="48"/>
    <x v="47"/>
    <n v="28"/>
    <s v="david.robinson@example.com"/>
    <x v="47"/>
    <x v="0"/>
    <x v="3"/>
    <x v="1"/>
    <d v="2024-09-01T00:00:00"/>
    <n v="81"/>
  </r>
  <r>
    <n v="49"/>
    <x v="48"/>
    <n v="33"/>
    <s v="maria.lewis@example.com"/>
    <x v="48"/>
    <x v="6"/>
    <x v="0"/>
    <x v="0"/>
    <d v="2024-09-03T00:00:00"/>
    <n v="90"/>
  </r>
  <r>
    <n v="50"/>
    <x v="49"/>
    <n v="39"/>
    <s v="james.scott@example.com"/>
    <x v="49"/>
    <x v="16"/>
    <x v="1"/>
    <x v="1"/>
    <d v="2024-09-02T00:00:00"/>
    <n v="8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2F4762-E76F-4CE4-B37E-043D80F2085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27:O28" firstHeaderRow="0" firstDataRow="1" firstDataCol="0" rowPageCount="1" colPageCount="1"/>
  <pivotFields count="13">
    <pivotField showAll="0"/>
    <pivotField showAll="0" measureFilter="1">
      <items count="51">
        <item x="3"/>
        <item x="35"/>
        <item x="46"/>
        <item x="32"/>
        <item x="16"/>
        <item x="2"/>
        <item x="28"/>
        <item x="10"/>
        <item x="14"/>
        <item x="47"/>
        <item x="6"/>
        <item x="5"/>
        <item x="25"/>
        <item x="34"/>
        <item x="27"/>
        <item x="49"/>
        <item x="8"/>
        <item x="1"/>
        <item x="24"/>
        <item x="40"/>
        <item x="21"/>
        <item x="0"/>
        <item x="11"/>
        <item x="44"/>
        <item x="39"/>
        <item x="22"/>
        <item x="42"/>
        <item x="17"/>
        <item x="9"/>
        <item x="48"/>
        <item x="20"/>
        <item x="15"/>
        <item x="33"/>
        <item x="4"/>
        <item x="37"/>
        <item x="19"/>
        <item x="13"/>
        <item x="41"/>
        <item x="18"/>
        <item x="29"/>
        <item x="43"/>
        <item x="36"/>
        <item x="30"/>
        <item x="7"/>
        <item x="38"/>
        <item x="45"/>
        <item x="12"/>
        <item x="23"/>
        <item x="26"/>
        <item x="31"/>
        <item t="default"/>
      </items>
    </pivotField>
    <pivotField showAll="0"/>
    <pivotField showAll="0"/>
    <pivotField numFmtId="14" showAll="0">
      <items count="51">
        <item x="16"/>
        <item x="8"/>
        <item x="48"/>
        <item x="30"/>
        <item x="4"/>
        <item x="34"/>
        <item x="27"/>
        <item x="22"/>
        <item x="12"/>
        <item x="23"/>
        <item x="49"/>
        <item x="14"/>
        <item x="2"/>
        <item x="28"/>
        <item x="41"/>
        <item x="9"/>
        <item x="45"/>
        <item x="33"/>
        <item x="6"/>
        <item x="31"/>
        <item x="36"/>
        <item x="17"/>
        <item x="39"/>
        <item x="20"/>
        <item x="25"/>
        <item x="43"/>
        <item x="46"/>
        <item x="13"/>
        <item x="1"/>
        <item x="42"/>
        <item x="0"/>
        <item x="5"/>
        <item x="26"/>
        <item x="21"/>
        <item x="7"/>
        <item x="38"/>
        <item x="11"/>
        <item x="47"/>
        <item x="19"/>
        <item x="35"/>
        <item x="37"/>
        <item x="10"/>
        <item x="18"/>
        <item x="44"/>
        <item x="24"/>
        <item x="40"/>
        <item x="29"/>
        <item x="15"/>
        <item x="3"/>
        <item x="32"/>
        <item t="default"/>
      </items>
    </pivotField>
    <pivotField dataField="1" showAll="0">
      <items count="25">
        <item x="3"/>
        <item x="9"/>
        <item x="11"/>
        <item x="19"/>
        <item x="15"/>
        <item x="5"/>
        <item x="13"/>
        <item x="18"/>
        <item x="0"/>
        <item x="21"/>
        <item x="10"/>
        <item x="23"/>
        <item x="14"/>
        <item x="6"/>
        <item x="12"/>
        <item x="1"/>
        <item x="20"/>
        <item x="8"/>
        <item x="16"/>
        <item x="4"/>
        <item x="17"/>
        <item x="7"/>
        <item x="22"/>
        <item x="2"/>
        <item t="default"/>
      </items>
    </pivotField>
    <pivotField showAll="0">
      <items count="5">
        <item x="2"/>
        <item x="1"/>
        <item x="3"/>
        <item x="0"/>
        <item t="default"/>
      </items>
    </pivotField>
    <pivotField axis="axisPage" dataField="1" showAll="0">
      <items count="3">
        <item x="1"/>
        <item x="0"/>
        <item t="default"/>
      </items>
    </pivotField>
    <pivotField numFmtId="14" showAll="0"/>
    <pivotField showAll="0"/>
    <pivotField showAll="0" defaultSubtotal="0"/>
    <pivotField showAll="0" defaultSubtotal="0"/>
    <pivotField showAll="0" defaultSubtotal="0">
      <items count="8">
        <item x="0"/>
        <item x="1"/>
        <item x="2"/>
        <item x="3"/>
        <item x="4"/>
        <item x="5"/>
        <item x="6"/>
        <item x="7"/>
      </items>
    </pivotField>
  </pivotFields>
  <rowItems count="1">
    <i/>
  </rowItems>
  <colFields count="1">
    <field x="-2"/>
  </colFields>
  <colItems count="3">
    <i>
      <x/>
    </i>
    <i i="1">
      <x v="1"/>
    </i>
    <i i="2">
      <x v="2"/>
    </i>
  </colItems>
  <pageFields count="1">
    <pageField fld="7" hier="-1"/>
  </pageFields>
  <dataFields count="3">
    <dataField name="Sum of Salary" fld="5" baseField="0" baseItem="0"/>
    <dataField name="Average of Salary2" fld="5" subtotal="average" baseField="6" baseItem="0"/>
    <dataField name="Count of IsActive" fld="7" subtotal="count" baseField="0" baseItem="0"/>
  </dataFields>
  <pivotTableStyleInfo name="PivotStyleLight16" showRowHeaders="1" showColHeaders="1" showRowStripes="0" showColStripes="0" showLastColumn="1"/>
  <filters count="1">
    <filter fld="1" type="count" evalOrder="-1" id="1" iMeasureFld="0">
      <autoFilter ref="A1">
        <filterColumn colId="0">
          <top10 val="2" filterVal="2"/>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4350889-940F-42D5-BD83-EABF7295139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M40:N42" firstHeaderRow="1" firstDataRow="1" firstDataCol="1" rowPageCount="1" colPageCount="1"/>
  <pivotFields count="13">
    <pivotField showAll="0"/>
    <pivotField showAll="0"/>
    <pivotField showAll="0"/>
    <pivotField showAll="0"/>
    <pivotField numFmtId="14" showAll="0">
      <items count="51">
        <item x="16"/>
        <item x="8"/>
        <item x="48"/>
        <item x="30"/>
        <item x="4"/>
        <item x="34"/>
        <item x="27"/>
        <item x="22"/>
        <item x="12"/>
        <item x="23"/>
        <item x="49"/>
        <item x="14"/>
        <item x="2"/>
        <item x="28"/>
        <item x="41"/>
        <item x="9"/>
        <item x="45"/>
        <item x="33"/>
        <item x="6"/>
        <item x="31"/>
        <item x="36"/>
        <item x="17"/>
        <item x="39"/>
        <item x="20"/>
        <item x="25"/>
        <item x="43"/>
        <item x="46"/>
        <item x="13"/>
        <item x="1"/>
        <item x="42"/>
        <item x="0"/>
        <item x="5"/>
        <item x="26"/>
        <item x="21"/>
        <item x="7"/>
        <item x="38"/>
        <item x="11"/>
        <item x="47"/>
        <item x="19"/>
        <item x="35"/>
        <item x="37"/>
        <item x="10"/>
        <item x="18"/>
        <item x="44"/>
        <item x="24"/>
        <item x="40"/>
        <item x="29"/>
        <item x="15"/>
        <item x="3"/>
        <item x="32"/>
        <item t="default"/>
      </items>
    </pivotField>
    <pivotField showAll="0"/>
    <pivotField axis="axisRow" dataField="1" showAll="0">
      <items count="5">
        <item h="1" x="2"/>
        <item h="1" x="1"/>
        <item x="3"/>
        <item h="1" x="0"/>
        <item t="default"/>
      </items>
    </pivotField>
    <pivotField axis="axisPage" showAll="0">
      <items count="3">
        <item x="1"/>
        <item x="0"/>
        <item t="default"/>
      </items>
    </pivotField>
    <pivotField numFmtId="14" showAll="0"/>
    <pivotField showAll="0"/>
    <pivotField showAll="0" defaultSubtotal="0"/>
    <pivotField showAll="0" defaultSubtotal="0"/>
    <pivotField showAll="0" defaultSubtotal="0">
      <items count="8">
        <item x="0"/>
        <item x="1"/>
        <item x="2"/>
        <item x="3"/>
        <item x="4"/>
        <item x="5"/>
        <item x="6"/>
        <item x="7"/>
      </items>
    </pivotField>
  </pivotFields>
  <rowFields count="1">
    <field x="6"/>
  </rowFields>
  <rowItems count="2">
    <i>
      <x v="2"/>
    </i>
    <i t="grand">
      <x/>
    </i>
  </rowItems>
  <colItems count="1">
    <i/>
  </colItems>
  <pageFields count="1">
    <pageField fld="7" hier="-1"/>
  </pageFields>
  <dataFields count="1">
    <dataField name="Count of Department" fld="6" subtotal="count" baseField="0" baseItem="0"/>
  </dataFields>
  <chartFormats count="5">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6" count="1" selected="0">
            <x v="0"/>
          </reference>
        </references>
      </pivotArea>
    </chartFormat>
    <chartFormat chart="6" format="8">
      <pivotArea type="data" outline="0" fieldPosition="0">
        <references count="2">
          <reference field="4294967294" count="1" selected="0">
            <x v="0"/>
          </reference>
          <reference field="6" count="1" selected="0">
            <x v="1"/>
          </reference>
        </references>
      </pivotArea>
    </chartFormat>
    <chartFormat chart="6" format="9">
      <pivotArea type="data" outline="0" fieldPosition="0">
        <references count="2">
          <reference field="4294967294" count="1" selected="0">
            <x v="0"/>
          </reference>
          <reference field="6" count="1" selected="0">
            <x v="2"/>
          </reference>
        </references>
      </pivotArea>
    </chartFormat>
    <chartFormat chart="6"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6E7FE45-5E9D-4DCB-BCAC-14261BD514E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62:E67" firstHeaderRow="1" firstDataRow="1" firstDataCol="1"/>
  <pivotFields count="13">
    <pivotField showAll="0"/>
    <pivotField showAll="0"/>
    <pivotField showAll="0"/>
    <pivotField showAll="0"/>
    <pivotField numFmtId="14" showAll="0">
      <items count="51">
        <item x="16"/>
        <item x="8"/>
        <item x="48"/>
        <item x="30"/>
        <item x="4"/>
        <item x="34"/>
        <item x="27"/>
        <item x="22"/>
        <item x="12"/>
        <item x="23"/>
        <item x="49"/>
        <item x="14"/>
        <item x="2"/>
        <item x="28"/>
        <item x="41"/>
        <item x="9"/>
        <item x="45"/>
        <item x="33"/>
        <item x="6"/>
        <item x="31"/>
        <item x="36"/>
        <item x="17"/>
        <item x="39"/>
        <item x="20"/>
        <item x="25"/>
        <item x="43"/>
        <item x="46"/>
        <item x="13"/>
        <item x="1"/>
        <item x="42"/>
        <item x="0"/>
        <item x="5"/>
        <item x="26"/>
        <item x="21"/>
        <item x="7"/>
        <item x="38"/>
        <item x="11"/>
        <item x="47"/>
        <item x="19"/>
        <item x="35"/>
        <item x="37"/>
        <item x="10"/>
        <item x="18"/>
        <item x="44"/>
        <item x="24"/>
        <item x="40"/>
        <item x="29"/>
        <item x="15"/>
        <item x="3"/>
        <item x="32"/>
        <item t="default"/>
      </items>
    </pivotField>
    <pivotField dataField="1" showAll="0"/>
    <pivotField axis="axisRow" showAll="0">
      <items count="5">
        <item x="2"/>
        <item x="1"/>
        <item x="3"/>
        <item x="0"/>
        <item t="default"/>
      </items>
    </pivotField>
    <pivotField showAll="0"/>
    <pivotField numFmtId="14" showAll="0"/>
    <pivotField showAll="0"/>
    <pivotField showAll="0" defaultSubtotal="0"/>
    <pivotField showAll="0" defaultSubtotal="0"/>
    <pivotField showAll="0" defaultSubtotal="0">
      <items count="8">
        <item x="0"/>
        <item x="1"/>
        <item x="2"/>
        <item x="3"/>
        <item x="4"/>
        <item x="5"/>
        <item x="6"/>
        <item x="7"/>
      </items>
    </pivotField>
  </pivotFields>
  <rowFields count="1">
    <field x="6"/>
  </rowFields>
  <rowItems count="5">
    <i>
      <x/>
    </i>
    <i>
      <x v="1"/>
    </i>
    <i>
      <x v="2"/>
    </i>
    <i>
      <x v="3"/>
    </i>
    <i t="grand">
      <x/>
    </i>
  </rowItems>
  <colItems count="1">
    <i/>
  </colItems>
  <dataFields count="1">
    <dataField name="Sum of Salary" fld="5" baseField="0" baseItem="0"/>
  </dataFields>
  <chartFormats count="6">
    <chartFormat chart="2"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6" count="1" selected="0">
            <x v="0"/>
          </reference>
        </references>
      </pivotArea>
    </chartFormat>
    <chartFormat chart="4" format="8">
      <pivotArea type="data" outline="0" fieldPosition="0">
        <references count="2">
          <reference field="4294967294" count="1" selected="0">
            <x v="0"/>
          </reference>
          <reference field="6" count="1" selected="0">
            <x v="1"/>
          </reference>
        </references>
      </pivotArea>
    </chartFormat>
    <chartFormat chart="4" format="9">
      <pivotArea type="data" outline="0" fieldPosition="0">
        <references count="2">
          <reference field="4294967294" count="1" selected="0">
            <x v="0"/>
          </reference>
          <reference field="6" count="1" selected="0">
            <x v="2"/>
          </reference>
        </references>
      </pivotArea>
    </chartFormat>
    <chartFormat chart="4"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947442A-76FD-44E0-9502-09A853A78A8F}"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I61:J68" firstHeaderRow="1" firstDataRow="1" firstDataCol="1"/>
  <pivotFields count="13">
    <pivotField showAll="0"/>
    <pivotField showAll="0"/>
    <pivotField showAll="0"/>
    <pivotField showAll="0"/>
    <pivotField numFmtId="14" showAll="0">
      <items count="51">
        <item x="16"/>
        <item x="8"/>
        <item x="48"/>
        <item x="30"/>
        <item x="4"/>
        <item x="34"/>
        <item x="27"/>
        <item x="22"/>
        <item x="12"/>
        <item x="23"/>
        <item x="49"/>
        <item x="14"/>
        <item x="2"/>
        <item x="28"/>
        <item x="41"/>
        <item x="9"/>
        <item x="45"/>
        <item x="33"/>
        <item x="6"/>
        <item x="31"/>
        <item x="36"/>
        <item x="17"/>
        <item x="39"/>
        <item x="20"/>
        <item x="25"/>
        <item x="43"/>
        <item x="46"/>
        <item x="13"/>
        <item x="1"/>
        <item x="42"/>
        <item x="0"/>
        <item x="5"/>
        <item x="26"/>
        <item x="21"/>
        <item x="7"/>
        <item x="38"/>
        <item x="11"/>
        <item x="47"/>
        <item x="19"/>
        <item x="35"/>
        <item x="37"/>
        <item x="10"/>
        <item x="18"/>
        <item x="44"/>
        <item x="24"/>
        <item x="40"/>
        <item x="29"/>
        <item x="15"/>
        <item x="3"/>
        <item x="32"/>
        <item t="default"/>
      </items>
    </pivotField>
    <pivotField showAll="0"/>
    <pivotField showAll="0"/>
    <pivotField showAll="0"/>
    <pivotField numFmtId="14" showAll="0"/>
    <pivotField showAll="0"/>
    <pivotField showAll="0" defaultSubtotal="0"/>
    <pivotField showAll="0" defaultSubtotal="0"/>
    <pivotField axis="axisRow" dataField="1" showAll="0" defaultSubtotal="0">
      <items count="8">
        <item x="0"/>
        <item x="1"/>
        <item x="2"/>
        <item x="3"/>
        <item x="4"/>
        <item x="5"/>
        <item x="6"/>
        <item x="7"/>
      </items>
    </pivotField>
  </pivotFields>
  <rowFields count="1">
    <field x="12"/>
  </rowFields>
  <rowItems count="7">
    <i>
      <x v="1"/>
    </i>
    <i>
      <x v="2"/>
    </i>
    <i>
      <x v="3"/>
    </i>
    <i>
      <x v="4"/>
    </i>
    <i>
      <x v="5"/>
    </i>
    <i>
      <x v="6"/>
    </i>
    <i t="grand">
      <x/>
    </i>
  </rowItems>
  <colItems count="1">
    <i/>
  </colItems>
  <dataFields count="1">
    <dataField name="Count of Years (JoinDate)" fld="12" subtotal="count" baseField="0" baseItem="0"/>
  </dataFields>
  <chartFormats count="4">
    <chartFormat chart="14"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417CA7-EC84-4D36-8923-D2B03EE5611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W13:X19" firstHeaderRow="1" firstDataRow="1" firstDataCol="1" rowPageCount="1" colPageCount="1"/>
  <pivotFields count="13">
    <pivotField showAll="0"/>
    <pivotField axis="axisRow" showAll="0" measureFilter="1">
      <items count="51">
        <item sd="0" x="3"/>
        <item sd="0" x="35"/>
        <item sd="0" x="16"/>
        <item sd="0" x="46"/>
        <item sd="0" x="32"/>
        <item sd="0" x="2"/>
        <item sd="0" x="28"/>
        <item sd="0" x="10"/>
        <item sd="0" x="14"/>
        <item sd="0" x="47"/>
        <item sd="0" x="6"/>
        <item sd="0" x="5"/>
        <item sd="0" x="25"/>
        <item sd="0" x="34"/>
        <item sd="0" x="27"/>
        <item sd="0" x="49"/>
        <item sd="0" x="8"/>
        <item sd="0" x="1"/>
        <item sd="0" x="24"/>
        <item sd="0" x="40"/>
        <item sd="0" x="21"/>
        <item sd="0" x="0"/>
        <item sd="0" x="11"/>
        <item sd="0" x="44"/>
        <item sd="0" x="39"/>
        <item sd="0" x="22"/>
        <item sd="0" x="42"/>
        <item sd="0" x="17"/>
        <item sd="0" x="9"/>
        <item sd="0" x="48"/>
        <item sd="0" x="20"/>
        <item sd="0" x="15"/>
        <item sd="0" x="33"/>
        <item sd="0" x="4"/>
        <item sd="0" x="37"/>
        <item sd="0" x="19"/>
        <item sd="0" x="13"/>
        <item sd="0" x="41"/>
        <item sd="0" x="18"/>
        <item sd="0" x="29"/>
        <item sd="0" x="43"/>
        <item sd="0" x="36"/>
        <item sd="0" x="30"/>
        <item sd="0" x="7"/>
        <item sd="0" x="38"/>
        <item sd="0" x="45"/>
        <item sd="0" x="12"/>
        <item sd="0" x="23"/>
        <item sd="0" x="26"/>
        <item sd="0" x="31"/>
        <item t="default" sd="0"/>
      </items>
    </pivotField>
    <pivotField showAll="0"/>
    <pivotField showAll="0"/>
    <pivotField numFmtId="14" showAll="0">
      <items count="51">
        <item x="16"/>
        <item x="8"/>
        <item x="48"/>
        <item x="30"/>
        <item x="4"/>
        <item x="34"/>
        <item x="27"/>
        <item x="22"/>
        <item x="12"/>
        <item x="23"/>
        <item x="49"/>
        <item x="14"/>
        <item x="2"/>
        <item x="28"/>
        <item x="41"/>
        <item x="9"/>
        <item x="45"/>
        <item x="33"/>
        <item x="6"/>
        <item x="31"/>
        <item x="36"/>
        <item x="17"/>
        <item x="39"/>
        <item x="20"/>
        <item x="25"/>
        <item x="43"/>
        <item x="46"/>
        <item x="13"/>
        <item x="1"/>
        <item x="42"/>
        <item x="0"/>
        <item x="5"/>
        <item x="26"/>
        <item x="21"/>
        <item x="7"/>
        <item x="38"/>
        <item x="11"/>
        <item x="47"/>
        <item x="19"/>
        <item x="35"/>
        <item x="37"/>
        <item x="10"/>
        <item x="18"/>
        <item x="44"/>
        <item x="24"/>
        <item x="40"/>
        <item x="29"/>
        <item x="15"/>
        <item x="3"/>
        <item x="32"/>
        <item t="default"/>
      </items>
    </pivotField>
    <pivotField axis="axisPage" dataField="1" showAll="0">
      <items count="25">
        <item x="3"/>
        <item x="9"/>
        <item x="11"/>
        <item x="19"/>
        <item x="15"/>
        <item x="5"/>
        <item x="13"/>
        <item x="18"/>
        <item x="0"/>
        <item x="21"/>
        <item x="10"/>
        <item x="23"/>
        <item x="14"/>
        <item x="6"/>
        <item x="12"/>
        <item x="1"/>
        <item x="20"/>
        <item x="8"/>
        <item x="16"/>
        <item x="4"/>
        <item x="17"/>
        <item x="7"/>
        <item x="22"/>
        <item x="2"/>
        <item t="default"/>
      </items>
    </pivotField>
    <pivotField axis="axisRow" showAll="0">
      <items count="5">
        <item x="2"/>
        <item x="1"/>
        <item x="3"/>
        <item x="0"/>
        <item t="default"/>
      </items>
    </pivotField>
    <pivotField showAll="0"/>
    <pivotField numFmtId="14" showAll="0"/>
    <pivotField showAll="0"/>
    <pivotField showAll="0" defaultSubtotal="0"/>
    <pivotField showAll="0" defaultSubtotal="0"/>
    <pivotField showAll="0" defaultSubtotal="0">
      <items count="8">
        <item x="0"/>
        <item x="1"/>
        <item x="2"/>
        <item x="3"/>
        <item x="4"/>
        <item x="5"/>
        <item x="6"/>
        <item x="7"/>
      </items>
    </pivotField>
  </pivotFields>
  <rowFields count="2">
    <field x="1"/>
    <field x="6"/>
  </rowFields>
  <rowItems count="6">
    <i>
      <x v="5"/>
    </i>
    <i>
      <x v="13"/>
    </i>
    <i>
      <x v="16"/>
    </i>
    <i>
      <x v="42"/>
    </i>
    <i>
      <x v="46"/>
    </i>
    <i t="grand">
      <x/>
    </i>
  </rowItems>
  <colItems count="1">
    <i/>
  </colItems>
  <pageFields count="1">
    <pageField fld="5" hier="-1"/>
  </pageFields>
  <dataFields count="1">
    <dataField name="Sum of Salary" fld="5"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5C03F3C-803B-4B17-A0A0-9B9CD7E34968}"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M4:N9" firstHeaderRow="1" firstDataRow="1" firstDataCol="1"/>
  <pivotFields count="13">
    <pivotField showAll="0"/>
    <pivotField showAll="0"/>
    <pivotField showAll="0"/>
    <pivotField showAll="0"/>
    <pivotField numFmtId="14" showAll="0">
      <items count="51">
        <item x="16"/>
        <item x="8"/>
        <item x="48"/>
        <item x="30"/>
        <item x="4"/>
        <item x="34"/>
        <item x="27"/>
        <item x="22"/>
        <item x="12"/>
        <item x="23"/>
        <item x="49"/>
        <item x="14"/>
        <item x="2"/>
        <item x="28"/>
        <item x="41"/>
        <item x="9"/>
        <item x="45"/>
        <item x="33"/>
        <item x="6"/>
        <item x="31"/>
        <item x="36"/>
        <item x="17"/>
        <item x="39"/>
        <item x="20"/>
        <item x="25"/>
        <item x="43"/>
        <item x="46"/>
        <item x="13"/>
        <item x="1"/>
        <item x="42"/>
        <item x="0"/>
        <item x="5"/>
        <item x="26"/>
        <item x="21"/>
        <item x="7"/>
        <item x="38"/>
        <item x="11"/>
        <item x="47"/>
        <item x="19"/>
        <item x="35"/>
        <item x="37"/>
        <item x="10"/>
        <item x="18"/>
        <item x="44"/>
        <item x="24"/>
        <item x="40"/>
        <item x="29"/>
        <item x="15"/>
        <item x="3"/>
        <item x="32"/>
        <item t="default"/>
      </items>
    </pivotField>
    <pivotField showAll="0"/>
    <pivotField axis="axisRow" showAll="0">
      <items count="5">
        <item x="2"/>
        <item x="1"/>
        <item x="3"/>
        <item x="0"/>
        <item t="default"/>
      </items>
    </pivotField>
    <pivotField showAll="0"/>
    <pivotField numFmtId="14" showAll="0"/>
    <pivotField dataField="1" showAll="0"/>
    <pivotField showAll="0" defaultSubtotal="0"/>
    <pivotField showAll="0" defaultSubtotal="0"/>
    <pivotField showAll="0" defaultSubtotal="0">
      <items count="8">
        <item x="0"/>
        <item x="1"/>
        <item x="2"/>
        <item x="3"/>
        <item x="4"/>
        <item x="5"/>
        <item x="6"/>
        <item x="7"/>
      </items>
    </pivotField>
  </pivotFields>
  <rowFields count="1">
    <field x="6"/>
  </rowFields>
  <rowItems count="5">
    <i>
      <x/>
    </i>
    <i>
      <x v="1"/>
    </i>
    <i>
      <x v="2"/>
    </i>
    <i>
      <x v="3"/>
    </i>
    <i t="grand">
      <x/>
    </i>
  </rowItems>
  <colItems count="1">
    <i/>
  </colItems>
  <dataFields count="1">
    <dataField name="Sum of Score" fld="9"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5F98334-C619-4E0E-9C7F-B2254D5BC3A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U33:V38" firstHeaderRow="1" firstDataRow="1" firstDataCol="1"/>
  <pivotFields count="13">
    <pivotField showAll="0"/>
    <pivotField showAll="0"/>
    <pivotField showAll="0"/>
    <pivotField showAll="0"/>
    <pivotField numFmtId="14" showAll="0">
      <items count="51">
        <item x="16"/>
        <item x="8"/>
        <item x="48"/>
        <item x="30"/>
        <item x="4"/>
        <item x="34"/>
        <item x="27"/>
        <item x="22"/>
        <item x="12"/>
        <item x="23"/>
        <item x="49"/>
        <item x="14"/>
        <item x="2"/>
        <item x="28"/>
        <item x="41"/>
        <item x="9"/>
        <item x="45"/>
        <item x="33"/>
        <item x="6"/>
        <item x="31"/>
        <item x="36"/>
        <item x="17"/>
        <item x="39"/>
        <item x="20"/>
        <item x="25"/>
        <item x="43"/>
        <item x="46"/>
        <item x="13"/>
        <item x="1"/>
        <item x="42"/>
        <item x="0"/>
        <item x="5"/>
        <item x="26"/>
        <item x="21"/>
        <item x="7"/>
        <item x="38"/>
        <item x="11"/>
        <item x="47"/>
        <item x="19"/>
        <item x="35"/>
        <item x="37"/>
        <item x="10"/>
        <item x="18"/>
        <item x="44"/>
        <item x="24"/>
        <item x="40"/>
        <item x="29"/>
        <item x="15"/>
        <item x="3"/>
        <item x="32"/>
        <item t="default"/>
      </items>
    </pivotField>
    <pivotField showAll="0"/>
    <pivotField axis="axisRow" showAll="0">
      <items count="5">
        <item x="2"/>
        <item x="1"/>
        <item x="3"/>
        <item x="0"/>
        <item t="default"/>
      </items>
    </pivotField>
    <pivotField dataField="1" showAll="0"/>
    <pivotField numFmtId="14" showAll="0"/>
    <pivotField showAll="0"/>
    <pivotField showAll="0" defaultSubtotal="0"/>
    <pivotField showAll="0" defaultSubtotal="0"/>
    <pivotField showAll="0" defaultSubtotal="0">
      <items count="8">
        <item x="0"/>
        <item x="1"/>
        <item x="2"/>
        <item x="3"/>
        <item x="4"/>
        <item x="5"/>
        <item x="6"/>
        <item x="7"/>
      </items>
    </pivotField>
  </pivotFields>
  <rowFields count="1">
    <field x="6"/>
  </rowFields>
  <rowItems count="5">
    <i>
      <x/>
    </i>
    <i>
      <x v="1"/>
    </i>
    <i>
      <x v="2"/>
    </i>
    <i>
      <x v="3"/>
    </i>
    <i t="grand">
      <x/>
    </i>
  </rowItems>
  <colItems count="1">
    <i/>
  </colItems>
  <dataFields count="1">
    <dataField name="Count of IsActive" fld="7" subtotal="count" baseField="0" baseItem="0"/>
  </dataFields>
  <chartFormats count="4">
    <chartFormat chart="6"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B0F6952A-8F98-4893-B5E6-B462362F87D5}" sourceName="Department">
  <data>
    <tabular pivotCacheId="1396246421">
      <items count="4">
        <i x="2"/>
        <i x="1"/>
        <i x="3"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4C32DC5E-B3BC-4B3A-8FE9-2B20B07FEE8F}" cache="Slicer_Department" caption="Department" columnCount="4" style="SlicerStyleDark1"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hyperlink" Target="mailto:laura.robinson@example.com" TargetMode="Externa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44D09-F4EA-47D3-AE30-1E1B8D05EDA9}">
  <dimension ref="C1:N7"/>
  <sheetViews>
    <sheetView zoomScale="51" zoomScaleNormal="100" workbookViewId="0">
      <selection activeCell="AE25" sqref="AE25"/>
    </sheetView>
  </sheetViews>
  <sheetFormatPr defaultRowHeight="14.5" x14ac:dyDescent="0.35"/>
  <cols>
    <col min="1" max="16384" width="8.7265625" style="1"/>
  </cols>
  <sheetData>
    <row r="1" spans="3:14" x14ac:dyDescent="0.35">
      <c r="C1" s="14"/>
      <c r="D1" s="15" t="s">
        <v>0</v>
      </c>
      <c r="E1" s="15"/>
      <c r="F1" s="15"/>
      <c r="G1" s="15"/>
      <c r="H1" s="15"/>
      <c r="I1" s="15"/>
      <c r="J1" s="15"/>
      <c r="K1" s="15"/>
      <c r="L1" s="15"/>
      <c r="M1" s="15"/>
      <c r="N1" s="15"/>
    </row>
    <row r="2" spans="3:14" x14ac:dyDescent="0.35">
      <c r="C2" s="14"/>
      <c r="D2" s="15"/>
      <c r="E2" s="15"/>
      <c r="F2" s="15"/>
      <c r="G2" s="15"/>
      <c r="H2" s="15"/>
      <c r="I2" s="15"/>
      <c r="J2" s="15"/>
      <c r="K2" s="15"/>
      <c r="L2" s="15"/>
      <c r="M2" s="15"/>
      <c r="N2" s="15"/>
    </row>
    <row r="3" spans="3:14" x14ac:dyDescent="0.35">
      <c r="C3" s="14"/>
      <c r="D3" s="15"/>
      <c r="E3" s="15"/>
      <c r="F3" s="15"/>
      <c r="G3" s="15"/>
      <c r="H3" s="15"/>
      <c r="I3" s="15"/>
      <c r="J3" s="15"/>
      <c r="K3" s="15"/>
      <c r="L3" s="15"/>
      <c r="M3" s="15"/>
      <c r="N3" s="15"/>
    </row>
    <row r="4" spans="3:14" ht="15" thickBot="1" x14ac:dyDescent="0.4"/>
    <row r="5" spans="3:14" x14ac:dyDescent="0.35">
      <c r="C5" s="16">
        <f>GETPIVOTDATA("Salary",Data!$M$27)</f>
        <v>2981000</v>
      </c>
      <c r="D5" s="17"/>
      <c r="E5" s="20">
        <f>GETPIVOTDATA("Average of Salary2",Data!$M$27)</f>
        <v>59620</v>
      </c>
      <c r="F5" s="21"/>
      <c r="G5" s="24">
        <f>GETPIVOTDATA("Department",Data!$M$40)</f>
        <v>13</v>
      </c>
      <c r="H5" s="25"/>
      <c r="I5" s="24">
        <f>GETPIVOTDATA("Salary",Data!$W$13)</f>
        <v>357000</v>
      </c>
      <c r="J5" s="28"/>
      <c r="K5" s="24">
        <f>GETPIVOTDATA("Score",Data!$M$4)</f>
        <v>4215</v>
      </c>
      <c r="L5" s="28"/>
    </row>
    <row r="6" spans="3:14" ht="15" thickBot="1" x14ac:dyDescent="0.4">
      <c r="C6" s="18"/>
      <c r="D6" s="19"/>
      <c r="E6" s="22"/>
      <c r="F6" s="23"/>
      <c r="G6" s="26"/>
      <c r="H6" s="27"/>
      <c r="I6" s="26"/>
      <c r="J6" s="29"/>
      <c r="K6" s="26"/>
      <c r="L6" s="29"/>
    </row>
    <row r="7" spans="3:14" ht="15" thickBot="1" x14ac:dyDescent="0.4">
      <c r="C7" s="9" t="s">
        <v>1</v>
      </c>
      <c r="D7" s="10"/>
      <c r="E7" s="11" t="s">
        <v>2</v>
      </c>
      <c r="F7" s="12"/>
      <c r="G7" s="11" t="s">
        <v>3</v>
      </c>
      <c r="H7" s="13"/>
      <c r="I7" s="11" t="s">
        <v>4</v>
      </c>
      <c r="J7" s="13"/>
      <c r="K7" s="11" t="s">
        <v>5</v>
      </c>
      <c r="L7" s="13"/>
    </row>
  </sheetData>
  <mergeCells count="12">
    <mergeCell ref="C1:C3"/>
    <mergeCell ref="D1:N3"/>
    <mergeCell ref="C5:D6"/>
    <mergeCell ref="E5:F6"/>
    <mergeCell ref="G5:H6"/>
    <mergeCell ref="I5:J6"/>
    <mergeCell ref="K5:L6"/>
    <mergeCell ref="C7:D7"/>
    <mergeCell ref="E7:F7"/>
    <mergeCell ref="G7:H7"/>
    <mergeCell ref="I7:J7"/>
    <mergeCell ref="K7:L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92EB1-BF31-47CC-AFE3-391DD648FF5D}">
  <dimension ref="A1:X68"/>
  <sheetViews>
    <sheetView tabSelected="1" zoomScale="60" zoomScaleNormal="75" workbookViewId="0">
      <selection activeCell="F25" sqref="F25"/>
    </sheetView>
  </sheetViews>
  <sheetFormatPr defaultRowHeight="14.5" x14ac:dyDescent="0.35"/>
  <cols>
    <col min="1" max="1" width="7.54296875" bestFit="1" customWidth="1"/>
    <col min="2" max="2" width="16" bestFit="1" customWidth="1"/>
    <col min="3" max="3" width="8.81640625" bestFit="1" customWidth="1"/>
    <col min="4" max="4" width="13.26953125" bestFit="1" customWidth="1"/>
    <col min="5" max="5" width="12.453125" bestFit="1" customWidth="1"/>
    <col min="6" max="6" width="11" bestFit="1" customWidth="1"/>
    <col min="7" max="7" width="16.453125" bestFit="1" customWidth="1"/>
    <col min="8" max="8" width="12.7265625" bestFit="1" customWidth="1"/>
    <col min="9" max="9" width="13.54296875" bestFit="1" customWidth="1"/>
    <col min="10" max="10" width="22.453125" bestFit="1" customWidth="1"/>
    <col min="11" max="11" width="23.54296875" bestFit="1" customWidth="1"/>
    <col min="12" max="12" width="8.54296875" customWidth="1"/>
    <col min="13" max="13" width="14" bestFit="1" customWidth="1"/>
    <col min="14" max="14" width="18.453125" bestFit="1" customWidth="1"/>
    <col min="15" max="15" width="15" bestFit="1" customWidth="1"/>
    <col min="16" max="16" width="15.6328125" bestFit="1" customWidth="1"/>
    <col min="17" max="20" width="6.08984375" bestFit="1" customWidth="1"/>
    <col min="21" max="21" width="14" bestFit="1" customWidth="1"/>
    <col min="22" max="22" width="15" bestFit="1" customWidth="1"/>
    <col min="23" max="23" width="15.36328125" bestFit="1" customWidth="1"/>
    <col min="24" max="24" width="12.1796875" bestFit="1" customWidth="1"/>
    <col min="25" max="25" width="18.453125" bestFit="1" customWidth="1"/>
    <col min="26" max="26" width="3.36328125" bestFit="1" customWidth="1"/>
    <col min="27" max="27" width="9.1796875" bestFit="1" customWidth="1"/>
    <col min="28" max="28" width="10.36328125" bestFit="1" customWidth="1"/>
    <col min="29" max="37" width="6.08984375" bestFit="1" customWidth="1"/>
    <col min="38" max="38" width="10.81640625" bestFit="1" customWidth="1"/>
  </cols>
  <sheetData>
    <row r="1" spans="1:24" x14ac:dyDescent="0.35">
      <c r="A1" s="8" t="s">
        <v>135</v>
      </c>
      <c r="B1" s="8" t="s">
        <v>134</v>
      </c>
      <c r="C1" s="8" t="s">
        <v>133</v>
      </c>
      <c r="D1" s="8" t="s">
        <v>132</v>
      </c>
      <c r="E1" s="8" t="s">
        <v>131</v>
      </c>
      <c r="F1" s="8" t="s">
        <v>107</v>
      </c>
      <c r="G1" s="8" t="s">
        <v>130</v>
      </c>
      <c r="H1" s="8" t="s">
        <v>48</v>
      </c>
      <c r="I1" s="8" t="s">
        <v>129</v>
      </c>
      <c r="J1" s="8" t="s">
        <v>128</v>
      </c>
      <c r="K1" s="7" t="s">
        <v>127</v>
      </c>
      <c r="P1" s="4"/>
    </row>
    <row r="2" spans="1:24" x14ac:dyDescent="0.35">
      <c r="A2" s="4">
        <v>1</v>
      </c>
      <c r="B2" s="4" t="s">
        <v>126</v>
      </c>
      <c r="C2" s="4">
        <v>29</v>
      </c>
      <c r="D2" s="4" t="s">
        <v>125</v>
      </c>
      <c r="E2" s="5">
        <v>44576</v>
      </c>
      <c r="F2" s="4">
        <v>55000</v>
      </c>
      <c r="G2" s="4" t="s">
        <v>9</v>
      </c>
      <c r="H2" s="4" t="b">
        <v>1</v>
      </c>
      <c r="I2" s="5">
        <v>45536</v>
      </c>
      <c r="J2" s="4">
        <v>88</v>
      </c>
      <c r="K2">
        <f t="shared" ref="K2:K33" si="0">YEAR(E2)</f>
        <v>2022</v>
      </c>
      <c r="P2" s="4"/>
    </row>
    <row r="3" spans="1:24" x14ac:dyDescent="0.35">
      <c r="A3" s="4">
        <v>2</v>
      </c>
      <c r="B3" s="4" t="s">
        <v>124</v>
      </c>
      <c r="C3" s="4">
        <v>34</v>
      </c>
      <c r="D3" s="4" t="s">
        <v>123</v>
      </c>
      <c r="E3" s="5">
        <v>44523</v>
      </c>
      <c r="F3" s="4">
        <v>62000</v>
      </c>
      <c r="G3" s="4" t="s">
        <v>13</v>
      </c>
      <c r="H3" s="4" t="b">
        <v>0</v>
      </c>
      <c r="I3" s="5">
        <v>45538</v>
      </c>
      <c r="J3" s="4">
        <v>92</v>
      </c>
      <c r="K3">
        <f t="shared" si="0"/>
        <v>2021</v>
      </c>
      <c r="P3" s="4"/>
    </row>
    <row r="4" spans="1:24" x14ac:dyDescent="0.35">
      <c r="A4" s="4">
        <v>3</v>
      </c>
      <c r="B4" s="4" t="s">
        <v>101</v>
      </c>
      <c r="C4" s="4">
        <v>45</v>
      </c>
      <c r="D4" s="4" t="s">
        <v>122</v>
      </c>
      <c r="E4" s="5">
        <v>43961</v>
      </c>
      <c r="F4" s="4">
        <v>75000</v>
      </c>
      <c r="G4" s="4" t="s">
        <v>15</v>
      </c>
      <c r="H4" s="4" t="b">
        <v>1</v>
      </c>
      <c r="I4" s="5">
        <v>45537</v>
      </c>
      <c r="J4" s="4">
        <v>77</v>
      </c>
      <c r="K4">
        <f t="shared" si="0"/>
        <v>2020</v>
      </c>
      <c r="M4" s="3" t="s">
        <v>18</v>
      </c>
      <c r="N4" t="s">
        <v>121</v>
      </c>
      <c r="P4" s="4"/>
    </row>
    <row r="5" spans="1:24" x14ac:dyDescent="0.35">
      <c r="A5" s="4">
        <v>4</v>
      </c>
      <c r="B5" s="4" t="s">
        <v>120</v>
      </c>
      <c r="C5" s="4">
        <v>28</v>
      </c>
      <c r="D5" s="4" t="s">
        <v>119</v>
      </c>
      <c r="E5" s="5">
        <v>45137</v>
      </c>
      <c r="F5" s="4">
        <v>47000</v>
      </c>
      <c r="G5" s="4" t="s">
        <v>11</v>
      </c>
      <c r="H5" s="4" t="b">
        <v>1</v>
      </c>
      <c r="I5" s="5">
        <v>45534</v>
      </c>
      <c r="J5" s="4">
        <v>85</v>
      </c>
      <c r="K5">
        <f t="shared" si="0"/>
        <v>2023</v>
      </c>
      <c r="M5" s="2" t="s">
        <v>15</v>
      </c>
      <c r="N5">
        <v>889</v>
      </c>
    </row>
    <row r="6" spans="1:24" x14ac:dyDescent="0.35">
      <c r="A6" s="4">
        <v>5</v>
      </c>
      <c r="B6" s="4" t="s">
        <v>118</v>
      </c>
      <c r="C6" s="4">
        <v>38</v>
      </c>
      <c r="D6" s="4" t="s">
        <v>117</v>
      </c>
      <c r="E6" s="5">
        <v>43699</v>
      </c>
      <c r="F6" s="4">
        <v>68000</v>
      </c>
      <c r="G6" s="4" t="s">
        <v>13</v>
      </c>
      <c r="H6" s="4" t="b">
        <v>1</v>
      </c>
      <c r="I6" s="5">
        <v>45536</v>
      </c>
      <c r="J6" s="4">
        <v>90</v>
      </c>
      <c r="K6">
        <f t="shared" si="0"/>
        <v>2019</v>
      </c>
      <c r="M6" s="2" t="s">
        <v>13</v>
      </c>
      <c r="N6">
        <v>1137</v>
      </c>
    </row>
    <row r="7" spans="1:24" x14ac:dyDescent="0.35">
      <c r="A7" s="4">
        <v>6</v>
      </c>
      <c r="B7" s="4" t="s">
        <v>116</v>
      </c>
      <c r="C7" s="4">
        <v>25</v>
      </c>
      <c r="D7" s="4" t="s">
        <v>115</v>
      </c>
      <c r="E7" s="5">
        <v>44635</v>
      </c>
      <c r="F7" s="4">
        <v>52000</v>
      </c>
      <c r="G7" s="4" t="s">
        <v>9</v>
      </c>
      <c r="H7" s="4" t="b">
        <v>1</v>
      </c>
      <c r="I7" s="5">
        <v>45529</v>
      </c>
      <c r="J7" s="4">
        <v>79</v>
      </c>
      <c r="K7">
        <f t="shared" si="0"/>
        <v>2022</v>
      </c>
      <c r="M7" s="2" t="s">
        <v>11</v>
      </c>
      <c r="N7">
        <v>1124</v>
      </c>
    </row>
    <row r="8" spans="1:24" x14ac:dyDescent="0.35">
      <c r="A8" s="4">
        <v>7</v>
      </c>
      <c r="B8" s="4" t="s">
        <v>114</v>
      </c>
      <c r="C8" s="4">
        <v>31</v>
      </c>
      <c r="D8" s="4" t="s">
        <v>113</v>
      </c>
      <c r="E8" s="5">
        <v>44206</v>
      </c>
      <c r="F8" s="4">
        <v>60000</v>
      </c>
      <c r="G8" s="4" t="s">
        <v>15</v>
      </c>
      <c r="H8" s="4" t="b">
        <v>0</v>
      </c>
      <c r="I8" s="5">
        <v>45532</v>
      </c>
      <c r="J8" s="4">
        <v>83</v>
      </c>
      <c r="K8">
        <f t="shared" si="0"/>
        <v>2021</v>
      </c>
      <c r="M8" s="2" t="s">
        <v>9</v>
      </c>
      <c r="N8">
        <v>1065</v>
      </c>
    </row>
    <row r="9" spans="1:24" x14ac:dyDescent="0.35">
      <c r="A9" s="4">
        <v>8</v>
      </c>
      <c r="B9" s="4" t="s">
        <v>112</v>
      </c>
      <c r="C9" s="4">
        <v>29</v>
      </c>
      <c r="D9" s="4" t="s">
        <v>111</v>
      </c>
      <c r="E9" s="5">
        <v>44717</v>
      </c>
      <c r="F9" s="4">
        <v>55000</v>
      </c>
      <c r="G9" s="4" t="s">
        <v>11</v>
      </c>
      <c r="H9" s="4" t="b">
        <v>1</v>
      </c>
      <c r="I9" s="5">
        <v>45540</v>
      </c>
      <c r="J9" s="4">
        <v>91</v>
      </c>
      <c r="K9">
        <f t="shared" si="0"/>
        <v>2022</v>
      </c>
      <c r="M9" s="2" t="s">
        <v>6</v>
      </c>
      <c r="N9">
        <v>4215</v>
      </c>
    </row>
    <row r="10" spans="1:24" x14ac:dyDescent="0.35">
      <c r="A10" s="4">
        <v>9</v>
      </c>
      <c r="B10" s="4" t="s">
        <v>96</v>
      </c>
      <c r="C10" s="4">
        <v>40</v>
      </c>
      <c r="D10" s="4" t="s">
        <v>110</v>
      </c>
      <c r="E10" s="5">
        <v>43449</v>
      </c>
      <c r="F10" s="4">
        <v>70000</v>
      </c>
      <c r="G10" s="4" t="s">
        <v>9</v>
      </c>
      <c r="H10" s="4" t="b">
        <v>0</v>
      </c>
      <c r="I10" s="5">
        <v>45537</v>
      </c>
      <c r="J10" s="4">
        <v>70</v>
      </c>
      <c r="K10">
        <f t="shared" si="0"/>
        <v>2018</v>
      </c>
    </row>
    <row r="11" spans="1:24" x14ac:dyDescent="0.35">
      <c r="A11" s="4">
        <v>10</v>
      </c>
      <c r="B11" s="4" t="s">
        <v>109</v>
      </c>
      <c r="C11" s="4">
        <v>36</v>
      </c>
      <c r="D11" s="4" t="s">
        <v>108</v>
      </c>
      <c r="E11" s="5">
        <v>44104</v>
      </c>
      <c r="F11" s="4">
        <v>65000</v>
      </c>
      <c r="G11" s="4" t="s">
        <v>13</v>
      </c>
      <c r="H11" s="4" t="b">
        <v>1</v>
      </c>
      <c r="I11" s="5">
        <v>45538</v>
      </c>
      <c r="J11" s="4">
        <v>86</v>
      </c>
      <c r="K11">
        <f t="shared" si="0"/>
        <v>2020</v>
      </c>
      <c r="W11" s="3" t="s">
        <v>107</v>
      </c>
      <c r="X11" t="s">
        <v>47</v>
      </c>
    </row>
    <row r="12" spans="1:24" x14ac:dyDescent="0.35">
      <c r="A12" s="4">
        <v>11</v>
      </c>
      <c r="B12" s="4" t="s">
        <v>106</v>
      </c>
      <c r="C12" s="4">
        <v>27</v>
      </c>
      <c r="D12" s="4" t="s">
        <v>105</v>
      </c>
      <c r="E12" s="5">
        <v>44946</v>
      </c>
      <c r="F12" s="4">
        <v>48000</v>
      </c>
      <c r="G12" s="4" t="s">
        <v>11</v>
      </c>
      <c r="H12" s="4" t="b">
        <v>1</v>
      </c>
      <c r="I12" s="5">
        <v>45536</v>
      </c>
      <c r="J12" s="4">
        <v>93</v>
      </c>
      <c r="K12">
        <f t="shared" si="0"/>
        <v>2023</v>
      </c>
    </row>
    <row r="13" spans="1:24" x14ac:dyDescent="0.35">
      <c r="A13" s="4">
        <v>12</v>
      </c>
      <c r="B13" s="4" t="s">
        <v>104</v>
      </c>
      <c r="C13" s="4">
        <v>33</v>
      </c>
      <c r="D13" s="4" t="s">
        <v>103</v>
      </c>
      <c r="E13" s="5">
        <v>44760</v>
      </c>
      <c r="F13" s="4">
        <v>62000</v>
      </c>
      <c r="G13" s="4" t="s">
        <v>15</v>
      </c>
      <c r="H13" s="4" t="b">
        <v>0</v>
      </c>
      <c r="I13" s="5">
        <v>45531</v>
      </c>
      <c r="J13" s="4">
        <v>80</v>
      </c>
      <c r="K13">
        <f t="shared" si="0"/>
        <v>2022</v>
      </c>
      <c r="W13" s="3" t="s">
        <v>18</v>
      </c>
      <c r="X13" t="s">
        <v>17</v>
      </c>
    </row>
    <row r="14" spans="1:24" x14ac:dyDescent="0.35">
      <c r="A14" s="4">
        <v>13</v>
      </c>
      <c r="B14" s="4" t="s">
        <v>91</v>
      </c>
      <c r="C14" s="4">
        <v>40</v>
      </c>
      <c r="D14" s="4" t="s">
        <v>102</v>
      </c>
      <c r="E14" s="5">
        <v>43824</v>
      </c>
      <c r="F14" s="4">
        <v>70000</v>
      </c>
      <c r="G14" s="4" t="s">
        <v>13</v>
      </c>
      <c r="H14" s="4" t="b">
        <v>1</v>
      </c>
      <c r="I14" s="5">
        <v>45539</v>
      </c>
      <c r="J14" s="4">
        <v>87</v>
      </c>
      <c r="K14">
        <f t="shared" si="0"/>
        <v>2019</v>
      </c>
      <c r="W14" s="2" t="s">
        <v>101</v>
      </c>
      <c r="X14">
        <v>75000</v>
      </c>
    </row>
    <row r="15" spans="1:24" x14ac:dyDescent="0.35">
      <c r="A15" s="4">
        <v>14</v>
      </c>
      <c r="B15" s="4" t="s">
        <v>100</v>
      </c>
      <c r="C15" s="4">
        <v>30</v>
      </c>
      <c r="D15" s="4" t="s">
        <v>99</v>
      </c>
      <c r="E15" s="5">
        <v>44484</v>
      </c>
      <c r="F15" s="4">
        <v>57000</v>
      </c>
      <c r="G15" s="4" t="s">
        <v>9</v>
      </c>
      <c r="H15" s="4" t="b">
        <v>1</v>
      </c>
      <c r="I15" s="5">
        <v>45536</v>
      </c>
      <c r="J15" s="4">
        <v>78</v>
      </c>
      <c r="K15">
        <f t="shared" si="0"/>
        <v>2021</v>
      </c>
      <c r="W15" s="2" t="s">
        <v>54</v>
      </c>
      <c r="X15">
        <v>70000</v>
      </c>
    </row>
    <row r="16" spans="1:24" x14ac:dyDescent="0.35">
      <c r="A16" s="4">
        <v>15</v>
      </c>
      <c r="B16" s="4" t="s">
        <v>98</v>
      </c>
      <c r="C16" s="4">
        <v>35</v>
      </c>
      <c r="D16" s="4" t="s">
        <v>97</v>
      </c>
      <c r="E16" s="5">
        <v>43913</v>
      </c>
      <c r="F16" s="4">
        <v>65000</v>
      </c>
      <c r="G16" s="4" t="s">
        <v>11</v>
      </c>
      <c r="H16" s="4" t="b">
        <v>0</v>
      </c>
      <c r="I16" s="5">
        <v>45534</v>
      </c>
      <c r="J16" s="4">
        <v>82</v>
      </c>
      <c r="K16">
        <f t="shared" si="0"/>
        <v>2020</v>
      </c>
      <c r="W16" s="2" t="s">
        <v>96</v>
      </c>
      <c r="X16">
        <v>70000</v>
      </c>
    </row>
    <row r="17" spans="1:24" x14ac:dyDescent="0.35">
      <c r="A17" s="4">
        <v>16</v>
      </c>
      <c r="B17" s="4" t="s">
        <v>95</v>
      </c>
      <c r="C17" s="4">
        <v>26</v>
      </c>
      <c r="D17" s="4" t="s">
        <v>94</v>
      </c>
      <c r="E17" s="5">
        <v>45065</v>
      </c>
      <c r="F17" s="4">
        <v>49000</v>
      </c>
      <c r="G17" s="4" t="s">
        <v>9</v>
      </c>
      <c r="H17" s="4" t="b">
        <v>1</v>
      </c>
      <c r="I17" s="5">
        <v>45532</v>
      </c>
      <c r="J17" s="4">
        <v>84</v>
      </c>
      <c r="K17">
        <f t="shared" si="0"/>
        <v>2023</v>
      </c>
      <c r="W17" s="2" t="s">
        <v>63</v>
      </c>
      <c r="X17">
        <v>72000</v>
      </c>
    </row>
    <row r="18" spans="1:24" x14ac:dyDescent="0.35">
      <c r="A18" s="4">
        <v>17</v>
      </c>
      <c r="B18" s="4" t="s">
        <v>93</v>
      </c>
      <c r="C18" s="4">
        <v>37</v>
      </c>
      <c r="D18" s="4" t="s">
        <v>92</v>
      </c>
      <c r="E18" s="5">
        <v>43353</v>
      </c>
      <c r="F18" s="4">
        <v>68000</v>
      </c>
      <c r="G18" s="4" t="s">
        <v>15</v>
      </c>
      <c r="H18" s="4" t="b">
        <v>1</v>
      </c>
      <c r="I18" s="5">
        <v>45537</v>
      </c>
      <c r="J18" s="4">
        <v>76</v>
      </c>
      <c r="K18">
        <f t="shared" si="0"/>
        <v>2018</v>
      </c>
      <c r="W18" s="2" t="s">
        <v>91</v>
      </c>
      <c r="X18">
        <v>70000</v>
      </c>
    </row>
    <row r="19" spans="1:24" x14ac:dyDescent="0.35">
      <c r="A19" s="4">
        <v>18</v>
      </c>
      <c r="B19" s="4" t="s">
        <v>90</v>
      </c>
      <c r="C19" s="4">
        <v>32</v>
      </c>
      <c r="D19" s="6" t="s">
        <v>89</v>
      </c>
      <c r="E19" s="5">
        <v>44291</v>
      </c>
      <c r="F19" s="4">
        <v>61000</v>
      </c>
      <c r="G19" s="4" t="s">
        <v>13</v>
      </c>
      <c r="H19" s="4" t="b">
        <v>0</v>
      </c>
      <c r="I19" s="5">
        <v>45538</v>
      </c>
      <c r="J19" s="4">
        <v>89</v>
      </c>
      <c r="K19">
        <f t="shared" si="0"/>
        <v>2021</v>
      </c>
      <c r="W19" s="2" t="s">
        <v>6</v>
      </c>
      <c r="X19">
        <v>357000</v>
      </c>
    </row>
    <row r="20" spans="1:24" x14ac:dyDescent="0.35">
      <c r="A20" s="4">
        <v>19</v>
      </c>
      <c r="B20" s="4" t="s">
        <v>88</v>
      </c>
      <c r="C20" s="4">
        <v>29</v>
      </c>
      <c r="D20" s="4" t="s">
        <v>87</v>
      </c>
      <c r="E20" s="5">
        <v>44968</v>
      </c>
      <c r="F20" s="4">
        <v>53000</v>
      </c>
      <c r="G20" s="4" t="s">
        <v>11</v>
      </c>
      <c r="H20" s="4" t="b">
        <v>1</v>
      </c>
      <c r="I20" s="5">
        <v>45540</v>
      </c>
      <c r="J20" s="4">
        <v>92</v>
      </c>
      <c r="K20">
        <f t="shared" si="0"/>
        <v>2023</v>
      </c>
    </row>
    <row r="21" spans="1:24" x14ac:dyDescent="0.35">
      <c r="A21" s="4">
        <v>20</v>
      </c>
      <c r="B21" s="4" t="s">
        <v>86</v>
      </c>
      <c r="C21" s="4">
        <v>31</v>
      </c>
      <c r="D21" s="4" t="s">
        <v>85</v>
      </c>
      <c r="E21" s="5">
        <v>44834</v>
      </c>
      <c r="F21" s="4">
        <v>59000</v>
      </c>
      <c r="G21" s="4" t="s">
        <v>9</v>
      </c>
      <c r="H21" s="4" t="b">
        <v>0</v>
      </c>
      <c r="I21" s="5">
        <v>45533</v>
      </c>
      <c r="J21" s="4">
        <v>81</v>
      </c>
      <c r="K21">
        <f t="shared" si="0"/>
        <v>2022</v>
      </c>
    </row>
    <row r="22" spans="1:24" x14ac:dyDescent="0.35">
      <c r="A22" s="4">
        <v>21</v>
      </c>
      <c r="B22" s="4" t="s">
        <v>84</v>
      </c>
      <c r="C22" s="4">
        <v>28</v>
      </c>
      <c r="D22" s="4" t="s">
        <v>83</v>
      </c>
      <c r="E22" s="5">
        <v>44359</v>
      </c>
      <c r="F22" s="4">
        <v>55000</v>
      </c>
      <c r="G22" s="4" t="s">
        <v>15</v>
      </c>
      <c r="H22" s="4" t="b">
        <v>1</v>
      </c>
      <c r="I22" s="5">
        <v>45536</v>
      </c>
      <c r="J22" s="4">
        <v>80</v>
      </c>
      <c r="K22">
        <f t="shared" si="0"/>
        <v>2021</v>
      </c>
    </row>
    <row r="23" spans="1:24" x14ac:dyDescent="0.35">
      <c r="A23" s="4">
        <v>22</v>
      </c>
      <c r="B23" s="4" t="s">
        <v>82</v>
      </c>
      <c r="C23" s="4">
        <v>26</v>
      </c>
      <c r="D23" s="4" t="s">
        <v>81</v>
      </c>
      <c r="E23" s="5">
        <v>44704</v>
      </c>
      <c r="F23" s="4">
        <v>51000</v>
      </c>
      <c r="G23" s="4" t="s">
        <v>11</v>
      </c>
      <c r="H23" s="4" t="b">
        <v>1</v>
      </c>
      <c r="I23" s="5">
        <v>45539</v>
      </c>
      <c r="J23" s="4">
        <v>88</v>
      </c>
      <c r="K23">
        <f t="shared" si="0"/>
        <v>2022</v>
      </c>
    </row>
    <row r="24" spans="1:24" x14ac:dyDescent="0.35">
      <c r="A24" s="4">
        <v>23</v>
      </c>
      <c r="B24" s="4" t="s">
        <v>80</v>
      </c>
      <c r="C24" s="4">
        <v>35</v>
      </c>
      <c r="D24" s="4" t="s">
        <v>79</v>
      </c>
      <c r="E24" s="5">
        <v>43787</v>
      </c>
      <c r="F24" s="4">
        <v>67000</v>
      </c>
      <c r="G24" s="4" t="s">
        <v>13</v>
      </c>
      <c r="H24" s="4" t="b">
        <v>1</v>
      </c>
      <c r="I24" s="5">
        <v>45537</v>
      </c>
      <c r="J24" s="4">
        <v>85</v>
      </c>
      <c r="K24">
        <f t="shared" si="0"/>
        <v>2019</v>
      </c>
    </row>
    <row r="25" spans="1:24" x14ac:dyDescent="0.35">
      <c r="A25" s="4">
        <v>24</v>
      </c>
      <c r="B25" s="4" t="s">
        <v>78</v>
      </c>
      <c r="C25" s="4">
        <v>41</v>
      </c>
      <c r="D25" s="4" t="s">
        <v>77</v>
      </c>
      <c r="E25" s="5">
        <v>43881</v>
      </c>
      <c r="F25" s="4">
        <v>69000</v>
      </c>
      <c r="G25" s="4" t="s">
        <v>9</v>
      </c>
      <c r="H25" s="4" t="b">
        <v>0</v>
      </c>
      <c r="I25" s="5">
        <v>45535</v>
      </c>
      <c r="J25" s="4">
        <v>77</v>
      </c>
      <c r="K25">
        <f t="shared" si="0"/>
        <v>2020</v>
      </c>
      <c r="M25" s="3" t="s">
        <v>48</v>
      </c>
      <c r="N25" t="s">
        <v>47</v>
      </c>
    </row>
    <row r="26" spans="1:24" x14ac:dyDescent="0.35">
      <c r="A26" s="4">
        <v>25</v>
      </c>
      <c r="B26" s="4" t="s">
        <v>76</v>
      </c>
      <c r="C26" s="4">
        <v>29</v>
      </c>
      <c r="D26" s="4" t="s">
        <v>75</v>
      </c>
      <c r="E26" s="5">
        <v>44997</v>
      </c>
      <c r="F26" s="4">
        <v>54000</v>
      </c>
      <c r="G26" s="4" t="s">
        <v>11</v>
      </c>
      <c r="H26" s="4" t="b">
        <v>1</v>
      </c>
      <c r="I26" s="5">
        <v>45538</v>
      </c>
      <c r="J26" s="4">
        <v>82</v>
      </c>
      <c r="K26">
        <f t="shared" si="0"/>
        <v>2023</v>
      </c>
    </row>
    <row r="27" spans="1:24" x14ac:dyDescent="0.35">
      <c r="A27" s="4">
        <v>26</v>
      </c>
      <c r="B27" s="4" t="s">
        <v>74</v>
      </c>
      <c r="C27" s="4">
        <v>34</v>
      </c>
      <c r="D27" s="4" t="s">
        <v>73</v>
      </c>
      <c r="E27" s="5">
        <v>44435</v>
      </c>
      <c r="F27" s="4">
        <v>61000</v>
      </c>
      <c r="G27" s="4" t="s">
        <v>15</v>
      </c>
      <c r="H27" s="4" t="b">
        <v>0</v>
      </c>
      <c r="I27" s="5">
        <v>45536</v>
      </c>
      <c r="J27" s="4">
        <v>79</v>
      </c>
      <c r="K27">
        <f t="shared" si="0"/>
        <v>2021</v>
      </c>
      <c r="M27" t="s">
        <v>17</v>
      </c>
      <c r="N27" t="s">
        <v>72</v>
      </c>
      <c r="O27" t="s">
        <v>59</v>
      </c>
    </row>
    <row r="28" spans="1:24" x14ac:dyDescent="0.35">
      <c r="A28" s="4">
        <v>27</v>
      </c>
      <c r="B28" s="4" t="s">
        <v>71</v>
      </c>
      <c r="C28" s="4">
        <v>28</v>
      </c>
      <c r="D28" s="4" t="s">
        <v>70</v>
      </c>
      <c r="E28" s="5">
        <v>44665</v>
      </c>
      <c r="F28" s="4">
        <v>50000</v>
      </c>
      <c r="G28" s="4" t="s">
        <v>13</v>
      </c>
      <c r="H28" s="4" t="b">
        <v>1</v>
      </c>
      <c r="I28" s="5">
        <v>45534</v>
      </c>
      <c r="J28" s="4">
        <v>84</v>
      </c>
      <c r="K28">
        <f t="shared" si="0"/>
        <v>2022</v>
      </c>
      <c r="M28">
        <v>2981000</v>
      </c>
      <c r="N28">
        <v>59620</v>
      </c>
      <c r="O28">
        <v>50</v>
      </c>
      <c r="Q28" s="30"/>
      <c r="R28" s="30"/>
      <c r="S28" s="30"/>
    </row>
    <row r="29" spans="1:24" x14ac:dyDescent="0.35">
      <c r="A29" s="4">
        <v>28</v>
      </c>
      <c r="B29" s="4" t="s">
        <v>69</v>
      </c>
      <c r="C29" s="4">
        <v>37</v>
      </c>
      <c r="D29" s="4" t="s">
        <v>68</v>
      </c>
      <c r="E29" s="5">
        <v>43739</v>
      </c>
      <c r="F29" s="4">
        <v>68000</v>
      </c>
      <c r="G29" s="4" t="s">
        <v>9</v>
      </c>
      <c r="H29" s="4" t="b">
        <v>1</v>
      </c>
      <c r="I29" s="5">
        <v>45540</v>
      </c>
      <c r="J29" s="4">
        <v>86</v>
      </c>
      <c r="K29">
        <f t="shared" si="0"/>
        <v>2019</v>
      </c>
      <c r="Q29" s="30"/>
      <c r="R29" s="30"/>
      <c r="S29" s="30"/>
    </row>
    <row r="30" spans="1:24" x14ac:dyDescent="0.35">
      <c r="A30" s="4">
        <v>29</v>
      </c>
      <c r="B30" s="4" t="s">
        <v>67</v>
      </c>
      <c r="C30" s="4">
        <v>32</v>
      </c>
      <c r="D30" s="4" t="s">
        <v>66</v>
      </c>
      <c r="E30" s="5">
        <v>43997</v>
      </c>
      <c r="F30" s="4">
        <v>63000</v>
      </c>
      <c r="G30" s="4" t="s">
        <v>11</v>
      </c>
      <c r="H30" s="4" t="b">
        <v>1</v>
      </c>
      <c r="I30" s="5">
        <v>45537</v>
      </c>
      <c r="J30" s="4">
        <v>90</v>
      </c>
      <c r="K30">
        <f t="shared" si="0"/>
        <v>2020</v>
      </c>
      <c r="Q30" s="30"/>
      <c r="R30" s="30"/>
      <c r="S30" s="30"/>
    </row>
    <row r="31" spans="1:24" x14ac:dyDescent="0.35">
      <c r="A31" s="4">
        <v>30</v>
      </c>
      <c r="B31" s="4" t="s">
        <v>65</v>
      </c>
      <c r="C31" s="4">
        <v>29</v>
      </c>
      <c r="D31" s="4" t="s">
        <v>64</v>
      </c>
      <c r="E31" s="5">
        <v>45058</v>
      </c>
      <c r="F31" s="4">
        <v>56000</v>
      </c>
      <c r="G31" s="4" t="s">
        <v>15</v>
      </c>
      <c r="H31" s="4" t="b">
        <v>1</v>
      </c>
      <c r="I31" s="5">
        <v>45533</v>
      </c>
      <c r="J31" s="4">
        <v>78</v>
      </c>
      <c r="K31">
        <f t="shared" si="0"/>
        <v>2023</v>
      </c>
      <c r="Q31" s="30"/>
      <c r="R31" s="30"/>
      <c r="S31" s="30"/>
    </row>
    <row r="32" spans="1:24" x14ac:dyDescent="0.35">
      <c r="A32" s="4">
        <v>31</v>
      </c>
      <c r="B32" s="4" t="s">
        <v>63</v>
      </c>
      <c r="C32" s="4">
        <v>38</v>
      </c>
      <c r="D32" s="4" t="s">
        <v>62</v>
      </c>
      <c r="E32" s="5">
        <v>43653</v>
      </c>
      <c r="F32" s="4">
        <v>72000</v>
      </c>
      <c r="G32" s="4" t="s">
        <v>13</v>
      </c>
      <c r="H32" s="4" t="b">
        <v>1</v>
      </c>
      <c r="I32" s="5">
        <v>45536</v>
      </c>
      <c r="J32" s="4">
        <v>87</v>
      </c>
      <c r="K32">
        <f t="shared" si="0"/>
        <v>2019</v>
      </c>
    </row>
    <row r="33" spans="1:22" x14ac:dyDescent="0.35">
      <c r="A33" s="4">
        <v>32</v>
      </c>
      <c r="B33" s="4" t="s">
        <v>61</v>
      </c>
      <c r="C33" s="4">
        <v>31</v>
      </c>
      <c r="D33" s="4" t="s">
        <v>60</v>
      </c>
      <c r="E33" s="5">
        <v>44252</v>
      </c>
      <c r="F33" s="4">
        <v>58000</v>
      </c>
      <c r="G33" s="4" t="s">
        <v>9</v>
      </c>
      <c r="H33" s="4" t="b">
        <v>0</v>
      </c>
      <c r="I33" s="5">
        <v>45532</v>
      </c>
      <c r="J33" s="4">
        <v>82</v>
      </c>
      <c r="K33">
        <f t="shared" si="0"/>
        <v>2021</v>
      </c>
      <c r="U33" s="3" t="s">
        <v>18</v>
      </c>
      <c r="V33" t="s">
        <v>59</v>
      </c>
    </row>
    <row r="34" spans="1:22" x14ac:dyDescent="0.35">
      <c r="A34" s="4">
        <v>33</v>
      </c>
      <c r="B34" s="4" t="s">
        <v>58</v>
      </c>
      <c r="C34" s="4">
        <v>27</v>
      </c>
      <c r="D34" s="4" t="s">
        <v>57</v>
      </c>
      <c r="E34" s="5">
        <v>45139</v>
      </c>
      <c r="F34" s="4">
        <v>52000</v>
      </c>
      <c r="G34" s="4" t="s">
        <v>11</v>
      </c>
      <c r="H34" s="4" t="b">
        <v>1</v>
      </c>
      <c r="I34" s="5">
        <v>45539</v>
      </c>
      <c r="J34" s="4">
        <v>83</v>
      </c>
      <c r="K34">
        <f t="shared" ref="K34:K51" si="1">YEAR(E34)</f>
        <v>2023</v>
      </c>
      <c r="U34" s="2" t="s">
        <v>15</v>
      </c>
      <c r="V34">
        <v>11</v>
      </c>
    </row>
    <row r="35" spans="1:22" x14ac:dyDescent="0.35">
      <c r="A35" s="4">
        <v>34</v>
      </c>
      <c r="B35" s="4" t="s">
        <v>56</v>
      </c>
      <c r="C35" s="4">
        <v>35</v>
      </c>
      <c r="D35" s="4" t="s">
        <v>55</v>
      </c>
      <c r="E35" s="5">
        <v>44183</v>
      </c>
      <c r="F35" s="4">
        <v>67000</v>
      </c>
      <c r="G35" s="4" t="s">
        <v>15</v>
      </c>
      <c r="H35" s="4" t="b">
        <v>1</v>
      </c>
      <c r="I35" s="5">
        <v>45538</v>
      </c>
      <c r="J35" s="4">
        <v>88</v>
      </c>
      <c r="K35">
        <f t="shared" si="1"/>
        <v>2020</v>
      </c>
      <c r="U35" s="2" t="s">
        <v>13</v>
      </c>
      <c r="V35">
        <v>13</v>
      </c>
    </row>
    <row r="36" spans="1:22" x14ac:dyDescent="0.35">
      <c r="A36" s="4">
        <v>35</v>
      </c>
      <c r="B36" s="4" t="s">
        <v>54</v>
      </c>
      <c r="C36" s="4">
        <v>40</v>
      </c>
      <c r="D36" s="4" t="s">
        <v>53</v>
      </c>
      <c r="E36" s="5">
        <v>43728</v>
      </c>
      <c r="F36" s="4">
        <v>70000</v>
      </c>
      <c r="G36" s="4" t="s">
        <v>13</v>
      </c>
      <c r="H36" s="4" t="b">
        <v>0</v>
      </c>
      <c r="I36" s="5">
        <v>45536</v>
      </c>
      <c r="J36" s="4">
        <v>85</v>
      </c>
      <c r="K36">
        <f t="shared" si="1"/>
        <v>2019</v>
      </c>
      <c r="U36" s="2" t="s">
        <v>11</v>
      </c>
      <c r="V36">
        <v>13</v>
      </c>
    </row>
    <row r="37" spans="1:22" x14ac:dyDescent="0.35">
      <c r="A37" s="4">
        <v>36</v>
      </c>
      <c r="B37" s="4" t="s">
        <v>52</v>
      </c>
      <c r="C37" s="4">
        <v>26</v>
      </c>
      <c r="D37" s="4" t="s">
        <v>51</v>
      </c>
      <c r="E37" s="5">
        <v>44839</v>
      </c>
      <c r="F37" s="4">
        <v>49000</v>
      </c>
      <c r="G37" s="4" t="s">
        <v>9</v>
      </c>
      <c r="H37" s="4" t="b">
        <v>1</v>
      </c>
      <c r="I37" s="5">
        <v>45534</v>
      </c>
      <c r="J37" s="4">
        <v>79</v>
      </c>
      <c r="K37">
        <f t="shared" si="1"/>
        <v>2022</v>
      </c>
      <c r="U37" s="2" t="s">
        <v>9</v>
      </c>
      <c r="V37">
        <v>13</v>
      </c>
    </row>
    <row r="38" spans="1:22" x14ac:dyDescent="0.35">
      <c r="A38" s="4">
        <v>37</v>
      </c>
      <c r="B38" s="4" t="s">
        <v>50</v>
      </c>
      <c r="C38" s="4">
        <v>33</v>
      </c>
      <c r="D38" s="4" t="s">
        <v>49</v>
      </c>
      <c r="E38" s="5">
        <v>44270</v>
      </c>
      <c r="F38" s="4">
        <v>62000</v>
      </c>
      <c r="G38" s="4" t="s">
        <v>11</v>
      </c>
      <c r="H38" s="4" t="b">
        <v>0</v>
      </c>
      <c r="I38" s="5">
        <v>45537</v>
      </c>
      <c r="J38" s="4">
        <v>82</v>
      </c>
      <c r="K38">
        <f t="shared" si="1"/>
        <v>2021</v>
      </c>
      <c r="M38" s="3" t="s">
        <v>48</v>
      </c>
      <c r="N38" t="s">
        <v>47</v>
      </c>
      <c r="U38" s="2" t="s">
        <v>6</v>
      </c>
      <c r="V38">
        <v>50</v>
      </c>
    </row>
    <row r="39" spans="1:22" x14ac:dyDescent="0.35">
      <c r="A39" s="4">
        <v>38</v>
      </c>
      <c r="B39" s="4" t="s">
        <v>46</v>
      </c>
      <c r="C39" s="4">
        <v>29</v>
      </c>
      <c r="D39" s="4" t="s">
        <v>45</v>
      </c>
      <c r="E39" s="5">
        <v>44931</v>
      </c>
      <c r="F39" s="4">
        <v>53000</v>
      </c>
      <c r="G39" s="4" t="s">
        <v>15</v>
      </c>
      <c r="H39" s="4" t="b">
        <v>1</v>
      </c>
      <c r="I39" s="5">
        <v>45536</v>
      </c>
      <c r="J39" s="4">
        <v>90</v>
      </c>
      <c r="K39">
        <f t="shared" si="1"/>
        <v>2023</v>
      </c>
    </row>
    <row r="40" spans="1:22" x14ac:dyDescent="0.35">
      <c r="A40" s="4">
        <v>39</v>
      </c>
      <c r="B40" s="4" t="s">
        <v>44</v>
      </c>
      <c r="C40" s="4">
        <v>31</v>
      </c>
      <c r="D40" s="4" t="s">
        <v>43</v>
      </c>
      <c r="E40" s="5">
        <v>44722</v>
      </c>
      <c r="F40" s="4">
        <v>60000</v>
      </c>
      <c r="G40" s="4" t="s">
        <v>13</v>
      </c>
      <c r="H40" s="4" t="b">
        <v>1</v>
      </c>
      <c r="I40" s="5">
        <v>45531</v>
      </c>
      <c r="J40" s="4">
        <v>87</v>
      </c>
      <c r="K40">
        <f t="shared" si="1"/>
        <v>2022</v>
      </c>
      <c r="M40" s="3" t="s">
        <v>18</v>
      </c>
      <c r="N40" t="s">
        <v>42</v>
      </c>
    </row>
    <row r="41" spans="1:22" x14ac:dyDescent="0.35">
      <c r="A41" s="4">
        <v>40</v>
      </c>
      <c r="B41" s="4" t="s">
        <v>41</v>
      </c>
      <c r="C41" s="4">
        <v>30</v>
      </c>
      <c r="D41" s="4" t="s">
        <v>40</v>
      </c>
      <c r="E41" s="5">
        <v>44336</v>
      </c>
      <c r="F41" s="4">
        <v>57000</v>
      </c>
      <c r="G41" s="4" t="s">
        <v>9</v>
      </c>
      <c r="H41" s="4" t="b">
        <v>0</v>
      </c>
      <c r="I41" s="5">
        <v>45536</v>
      </c>
      <c r="J41" s="4">
        <v>84</v>
      </c>
      <c r="K41">
        <f t="shared" si="1"/>
        <v>2021</v>
      </c>
      <c r="M41" s="2" t="s">
        <v>11</v>
      </c>
      <c r="N41">
        <v>13</v>
      </c>
    </row>
    <row r="42" spans="1:22" x14ac:dyDescent="0.35">
      <c r="A42" s="4">
        <v>41</v>
      </c>
      <c r="B42" s="4" t="s">
        <v>39</v>
      </c>
      <c r="C42" s="4">
        <v>27</v>
      </c>
      <c r="D42" s="4" t="s">
        <v>38</v>
      </c>
      <c r="E42" s="5">
        <v>45015</v>
      </c>
      <c r="F42" s="4">
        <v>50000</v>
      </c>
      <c r="G42" s="4" t="s">
        <v>11</v>
      </c>
      <c r="H42" s="4" t="b">
        <v>1</v>
      </c>
      <c r="I42" s="5">
        <v>45539</v>
      </c>
      <c r="J42" s="4">
        <v>92</v>
      </c>
      <c r="K42">
        <f t="shared" si="1"/>
        <v>2023</v>
      </c>
      <c r="M42" s="2" t="s">
        <v>6</v>
      </c>
      <c r="N42">
        <v>13</v>
      </c>
    </row>
    <row r="43" spans="1:22" x14ac:dyDescent="0.35">
      <c r="A43" s="4">
        <v>42</v>
      </c>
      <c r="B43" s="4" t="s">
        <v>37</v>
      </c>
      <c r="C43" s="4">
        <v>34</v>
      </c>
      <c r="D43" s="4" t="s">
        <v>36</v>
      </c>
      <c r="E43" s="5">
        <v>44027</v>
      </c>
      <c r="F43" s="4">
        <v>62000</v>
      </c>
      <c r="G43" s="4" t="s">
        <v>15</v>
      </c>
      <c r="H43" s="4" t="b">
        <v>0</v>
      </c>
      <c r="I43" s="5">
        <v>45534</v>
      </c>
      <c r="J43" s="4">
        <v>78</v>
      </c>
      <c r="K43">
        <f t="shared" si="1"/>
        <v>2020</v>
      </c>
    </row>
    <row r="44" spans="1:22" x14ac:dyDescent="0.35">
      <c r="A44" s="4">
        <v>43</v>
      </c>
      <c r="B44" s="4" t="s">
        <v>35</v>
      </c>
      <c r="C44" s="4">
        <v>29</v>
      </c>
      <c r="D44" s="4" t="s">
        <v>34</v>
      </c>
      <c r="E44" s="5">
        <v>44566</v>
      </c>
      <c r="F44" s="4">
        <v>55000</v>
      </c>
      <c r="G44" s="4" t="s">
        <v>13</v>
      </c>
      <c r="H44" s="4" t="b">
        <v>1</v>
      </c>
      <c r="I44" s="5">
        <v>45538</v>
      </c>
      <c r="J44" s="4">
        <v>91</v>
      </c>
      <c r="K44">
        <f t="shared" si="1"/>
        <v>2022</v>
      </c>
    </row>
    <row r="45" spans="1:22" x14ac:dyDescent="0.35">
      <c r="A45" s="4">
        <v>44</v>
      </c>
      <c r="B45" s="4" t="s">
        <v>33</v>
      </c>
      <c r="C45" s="4">
        <v>32</v>
      </c>
      <c r="D45" s="4" t="s">
        <v>32</v>
      </c>
      <c r="E45" s="5">
        <v>44444</v>
      </c>
      <c r="F45" s="4">
        <v>59000</v>
      </c>
      <c r="G45" s="4" t="s">
        <v>11</v>
      </c>
      <c r="H45" s="4" t="b">
        <v>1</v>
      </c>
      <c r="I45" s="5">
        <v>45540</v>
      </c>
      <c r="J45" s="4">
        <v>83</v>
      </c>
      <c r="K45">
        <f t="shared" si="1"/>
        <v>2021</v>
      </c>
    </row>
    <row r="46" spans="1:22" x14ac:dyDescent="0.35">
      <c r="A46" s="4">
        <v>45</v>
      </c>
      <c r="B46" s="4" t="s">
        <v>31</v>
      </c>
      <c r="C46" s="4">
        <v>30</v>
      </c>
      <c r="D46" s="4" t="s">
        <v>30</v>
      </c>
      <c r="E46" s="5">
        <v>44969</v>
      </c>
      <c r="F46" s="4">
        <v>54000</v>
      </c>
      <c r="G46" s="4" t="s">
        <v>9</v>
      </c>
      <c r="H46" s="4" t="b">
        <v>1</v>
      </c>
      <c r="I46" s="5">
        <v>45535</v>
      </c>
      <c r="J46" s="4">
        <v>87</v>
      </c>
      <c r="K46">
        <f t="shared" si="1"/>
        <v>2023</v>
      </c>
    </row>
    <row r="47" spans="1:22" x14ac:dyDescent="0.35">
      <c r="A47" s="4">
        <v>46</v>
      </c>
      <c r="B47" s="4" t="s">
        <v>29</v>
      </c>
      <c r="C47" s="4">
        <v>36</v>
      </c>
      <c r="D47" s="4" t="s">
        <v>28</v>
      </c>
      <c r="E47" s="5">
        <v>44145</v>
      </c>
      <c r="F47" s="4">
        <v>68000</v>
      </c>
      <c r="G47" s="4" t="s">
        <v>15</v>
      </c>
      <c r="H47" s="4" t="b">
        <v>1</v>
      </c>
      <c r="I47" s="5">
        <v>45537</v>
      </c>
      <c r="J47" s="4">
        <v>80</v>
      </c>
      <c r="K47">
        <f t="shared" si="1"/>
        <v>2020</v>
      </c>
    </row>
    <row r="48" spans="1:22" x14ac:dyDescent="0.35">
      <c r="A48" s="4">
        <v>47</v>
      </c>
      <c r="B48" s="4" t="s">
        <v>27</v>
      </c>
      <c r="C48" s="4">
        <v>29</v>
      </c>
      <c r="D48" s="4" t="s">
        <v>26</v>
      </c>
      <c r="E48" s="5">
        <v>44470</v>
      </c>
      <c r="F48" s="4">
        <v>56000</v>
      </c>
      <c r="G48" s="4" t="s">
        <v>13</v>
      </c>
      <c r="H48" s="4" t="b">
        <v>1</v>
      </c>
      <c r="I48" s="5">
        <v>45533</v>
      </c>
      <c r="J48" s="4">
        <v>89</v>
      </c>
      <c r="K48">
        <f t="shared" si="1"/>
        <v>2021</v>
      </c>
    </row>
    <row r="49" spans="1:11" x14ac:dyDescent="0.35">
      <c r="A49" s="4">
        <v>48</v>
      </c>
      <c r="B49" s="4" t="s">
        <v>25</v>
      </c>
      <c r="C49" s="4">
        <v>28</v>
      </c>
      <c r="D49" s="4" t="s">
        <v>24</v>
      </c>
      <c r="E49" s="5">
        <v>44798</v>
      </c>
      <c r="F49" s="4">
        <v>55000</v>
      </c>
      <c r="G49" s="4" t="s">
        <v>11</v>
      </c>
      <c r="H49" s="4" t="b">
        <v>0</v>
      </c>
      <c r="I49" s="5">
        <v>45536</v>
      </c>
      <c r="J49" s="4">
        <v>81</v>
      </c>
      <c r="K49">
        <f t="shared" si="1"/>
        <v>2022</v>
      </c>
    </row>
    <row r="50" spans="1:11" x14ac:dyDescent="0.35">
      <c r="A50" s="4">
        <v>49</v>
      </c>
      <c r="B50" s="4" t="s">
        <v>23</v>
      </c>
      <c r="C50" s="4">
        <v>33</v>
      </c>
      <c r="D50" s="4" t="s">
        <v>22</v>
      </c>
      <c r="E50" s="5">
        <v>43600</v>
      </c>
      <c r="F50" s="4">
        <v>60000</v>
      </c>
      <c r="G50" s="4" t="s">
        <v>9</v>
      </c>
      <c r="H50" s="4" t="b">
        <v>1</v>
      </c>
      <c r="I50" s="5">
        <v>45538</v>
      </c>
      <c r="J50" s="4">
        <v>90</v>
      </c>
      <c r="K50">
        <f t="shared" si="1"/>
        <v>2019</v>
      </c>
    </row>
    <row r="51" spans="1:11" x14ac:dyDescent="0.35">
      <c r="A51" s="4">
        <v>50</v>
      </c>
      <c r="B51" s="4" t="s">
        <v>21</v>
      </c>
      <c r="C51" s="4">
        <v>39</v>
      </c>
      <c r="D51" s="4" t="s">
        <v>20</v>
      </c>
      <c r="E51" s="5">
        <v>43886</v>
      </c>
      <c r="F51" s="4">
        <v>67000</v>
      </c>
      <c r="G51" s="4" t="s">
        <v>13</v>
      </c>
      <c r="H51" s="4" t="b">
        <v>0</v>
      </c>
      <c r="I51" s="5">
        <v>45537</v>
      </c>
      <c r="J51" s="4">
        <v>85</v>
      </c>
      <c r="K51">
        <f t="shared" si="1"/>
        <v>2020</v>
      </c>
    </row>
    <row r="61" spans="1:11" x14ac:dyDescent="0.35">
      <c r="I61" s="3" t="s">
        <v>18</v>
      </c>
      <c r="J61" t="s">
        <v>19</v>
      </c>
    </row>
    <row r="62" spans="1:11" x14ac:dyDescent="0.35">
      <c r="D62" s="3" t="s">
        <v>18</v>
      </c>
      <c r="E62" t="s">
        <v>17</v>
      </c>
      <c r="I62" s="2" t="s">
        <v>16</v>
      </c>
      <c r="J62">
        <v>2</v>
      </c>
    </row>
    <row r="63" spans="1:11" x14ac:dyDescent="0.35">
      <c r="D63" s="2" t="s">
        <v>15</v>
      </c>
      <c r="E63">
        <v>687000</v>
      </c>
      <c r="I63" s="2" t="s">
        <v>14</v>
      </c>
      <c r="J63">
        <v>7</v>
      </c>
    </row>
    <row r="64" spans="1:11" x14ac:dyDescent="0.35">
      <c r="D64" s="2" t="s">
        <v>13</v>
      </c>
      <c r="E64">
        <v>823000</v>
      </c>
      <c r="I64" s="2" t="s">
        <v>12</v>
      </c>
      <c r="J64">
        <v>9</v>
      </c>
    </row>
    <row r="65" spans="4:10" x14ac:dyDescent="0.35">
      <c r="D65" s="2" t="s">
        <v>11</v>
      </c>
      <c r="E65">
        <v>714000</v>
      </c>
      <c r="I65" s="2" t="s">
        <v>10</v>
      </c>
      <c r="J65">
        <v>11</v>
      </c>
    </row>
    <row r="66" spans="4:10" x14ac:dyDescent="0.35">
      <c r="D66" s="2" t="s">
        <v>9</v>
      </c>
      <c r="E66">
        <v>757000</v>
      </c>
      <c r="I66" s="2" t="s">
        <v>8</v>
      </c>
      <c r="J66">
        <v>11</v>
      </c>
    </row>
    <row r="67" spans="4:10" x14ac:dyDescent="0.35">
      <c r="D67" s="2" t="s">
        <v>6</v>
      </c>
      <c r="E67">
        <v>2981000</v>
      </c>
      <c r="I67" s="2" t="s">
        <v>7</v>
      </c>
      <c r="J67">
        <v>10</v>
      </c>
    </row>
    <row r="68" spans="4:10" x14ac:dyDescent="0.35">
      <c r="I68" s="2" t="s">
        <v>6</v>
      </c>
      <c r="J68">
        <v>50</v>
      </c>
    </row>
  </sheetData>
  <autoFilter ref="A1:J51" xr:uid="{389CE234-5678-4710-B498-6333D8B3FCC9}"/>
  <mergeCells count="2">
    <mergeCell ref="Q28:S30"/>
    <mergeCell ref="Q31:S31"/>
  </mergeCells>
  <hyperlinks>
    <hyperlink ref="D19" r:id="rId8" xr:uid="{D44FB4F5-3613-418F-8A06-10D4578F0F5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Kirti Kirti</dc:creator>
  <cp:lastModifiedBy>Kirti Kirti</cp:lastModifiedBy>
  <dcterms:created xsi:type="dcterms:W3CDTF">2026-01-04T07:52:51Z</dcterms:created>
  <dcterms:modified xsi:type="dcterms:W3CDTF">2026-01-04T07:58:43Z</dcterms:modified>
</cp:coreProperties>
</file>